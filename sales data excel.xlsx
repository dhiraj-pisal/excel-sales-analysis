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https://d.docs.live.net/1ee3d38754318a7f/Documents/excel sales analysis/sales data/sales data/"/>
    </mc:Choice>
  </mc:AlternateContent>
  <xr:revisionPtr revIDLastSave="0" documentId="8_{84AB6FEE-EFD4-4FEF-9DC0-EB19F27D160C}" xr6:coauthVersionLast="47" xr6:coauthVersionMax="47" xr10:uidLastSave="{00000000-0000-0000-0000-000000000000}"/>
  <bookViews>
    <workbookView xWindow="-108" yWindow="-108" windowWidth="23256" windowHeight="12456" activeTab="2" xr2:uid="{00000000-000D-0000-FFFF-FFFF00000000}"/>
  </bookViews>
  <sheets>
    <sheet name="Raw Data" sheetId="2" r:id="rId1"/>
    <sheet name="Data Cleaning" sheetId="1" r:id="rId2"/>
    <sheet name="Sales Dashboard" sheetId="5" r:id="rId3"/>
    <sheet name="Chart Support" sheetId="7" state="hidden" r:id="rId4"/>
  </sheets>
  <definedNames>
    <definedName name="_xlnm.Print_Area" localSheetId="2">'Sales Dashboard'!$A$13:$R$41</definedName>
    <definedName name="Slicer_Order_Status">#N/A</definedName>
    <definedName name="Slicer_Order_Status1">#N/A</definedName>
    <definedName name="Slicer_Payment_Method">#N/A</definedName>
    <definedName name="Slicer_Payment_Method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6" i="1" l="1"/>
  <c r="R6" i="1"/>
  <c r="O6" i="1"/>
  <c r="A5" i="1"/>
  <c r="F288" i="1"/>
  <c r="K287" i="1"/>
  <c r="L287" i="1" s="1"/>
  <c r="K286" i="1"/>
  <c r="L286" i="1" s="1"/>
  <c r="K285" i="1"/>
  <c r="L285" i="1" s="1"/>
  <c r="K284" i="1"/>
  <c r="L284" i="1" s="1"/>
  <c r="M284" i="1" s="1"/>
  <c r="K283" i="1"/>
  <c r="L283" i="1" s="1"/>
  <c r="K282" i="1"/>
  <c r="L282" i="1" s="1"/>
  <c r="K281" i="1"/>
  <c r="L281" i="1" s="1"/>
  <c r="K280" i="1"/>
  <c r="L280" i="1" s="1"/>
  <c r="K279" i="1"/>
  <c r="L279" i="1" s="1"/>
  <c r="K278" i="1"/>
  <c r="L278" i="1" s="1"/>
  <c r="K277" i="1"/>
  <c r="L277" i="1" s="1"/>
  <c r="K276" i="1"/>
  <c r="L276" i="1" s="1"/>
  <c r="K275" i="1"/>
  <c r="L275" i="1" s="1"/>
  <c r="K274" i="1"/>
  <c r="L274" i="1" s="1"/>
  <c r="K273" i="1"/>
  <c r="L273" i="1" s="1"/>
  <c r="K272" i="1"/>
  <c r="L272" i="1" s="1"/>
  <c r="K271" i="1"/>
  <c r="L271" i="1" s="1"/>
  <c r="K270" i="1"/>
  <c r="L270" i="1" s="1"/>
  <c r="K269" i="1"/>
  <c r="L269" i="1" s="1"/>
  <c r="K268" i="1"/>
  <c r="L268" i="1" s="1"/>
  <c r="K267" i="1"/>
  <c r="L267" i="1" s="1"/>
  <c r="K266" i="1"/>
  <c r="L266" i="1" s="1"/>
  <c r="K265" i="1"/>
  <c r="L265" i="1" s="1"/>
  <c r="K264" i="1"/>
  <c r="L264" i="1" s="1"/>
  <c r="K263" i="1"/>
  <c r="L263" i="1" s="1"/>
  <c r="K262" i="1"/>
  <c r="L262" i="1" s="1"/>
  <c r="K261" i="1"/>
  <c r="L261" i="1" s="1"/>
  <c r="K260" i="1"/>
  <c r="L260" i="1" s="1"/>
  <c r="K259" i="1"/>
  <c r="L259" i="1" s="1"/>
  <c r="K258" i="1"/>
  <c r="L258" i="1" s="1"/>
  <c r="K257" i="1"/>
  <c r="L257" i="1" s="1"/>
  <c r="K256" i="1"/>
  <c r="L256" i="1" s="1"/>
  <c r="K255" i="1"/>
  <c r="L255" i="1" s="1"/>
  <c r="K254" i="1"/>
  <c r="L254" i="1" s="1"/>
  <c r="K253" i="1"/>
  <c r="L253" i="1" s="1"/>
  <c r="K252" i="1"/>
  <c r="L252" i="1" s="1"/>
  <c r="K251" i="1"/>
  <c r="L251" i="1" s="1"/>
  <c r="K250" i="1"/>
  <c r="L250" i="1" s="1"/>
  <c r="K249" i="1"/>
  <c r="L249" i="1" s="1"/>
  <c r="K248" i="1"/>
  <c r="L248" i="1" s="1"/>
  <c r="K247" i="1"/>
  <c r="L247" i="1" s="1"/>
  <c r="K246" i="1"/>
  <c r="L246" i="1" s="1"/>
  <c r="K245" i="1"/>
  <c r="L245" i="1" s="1"/>
  <c r="K244" i="1"/>
  <c r="L244" i="1" s="1"/>
  <c r="K243" i="1"/>
  <c r="L243" i="1" s="1"/>
  <c r="K242" i="1"/>
  <c r="L242" i="1" s="1"/>
  <c r="K241" i="1"/>
  <c r="L241" i="1" s="1"/>
  <c r="K240" i="1"/>
  <c r="L240" i="1" s="1"/>
  <c r="K239" i="1"/>
  <c r="L239" i="1" s="1"/>
  <c r="K238" i="1"/>
  <c r="L238" i="1" s="1"/>
  <c r="K237" i="1"/>
  <c r="L237" i="1" s="1"/>
  <c r="K236" i="1"/>
  <c r="L236" i="1" s="1"/>
  <c r="K235" i="1"/>
  <c r="L235" i="1" s="1"/>
  <c r="K234" i="1"/>
  <c r="L234" i="1" s="1"/>
  <c r="K233" i="1"/>
  <c r="L233" i="1" s="1"/>
  <c r="K232" i="1"/>
  <c r="L232" i="1" s="1"/>
  <c r="K231" i="1"/>
  <c r="L231" i="1" s="1"/>
  <c r="K230" i="1"/>
  <c r="L230" i="1" s="1"/>
  <c r="K229" i="1"/>
  <c r="L229" i="1" s="1"/>
  <c r="K228" i="1"/>
  <c r="L228" i="1" s="1"/>
  <c r="K227" i="1"/>
  <c r="L227" i="1" s="1"/>
  <c r="K226" i="1"/>
  <c r="L226" i="1" s="1"/>
  <c r="K225" i="1"/>
  <c r="L225" i="1" s="1"/>
  <c r="K224" i="1"/>
  <c r="L224" i="1" s="1"/>
  <c r="K223" i="1"/>
  <c r="L223" i="1" s="1"/>
  <c r="K222" i="1"/>
  <c r="L222" i="1" s="1"/>
  <c r="K221" i="1"/>
  <c r="L221" i="1" s="1"/>
  <c r="K220" i="1"/>
  <c r="L220" i="1" s="1"/>
  <c r="K219" i="1"/>
  <c r="L219" i="1" s="1"/>
  <c r="K218" i="1"/>
  <c r="L218" i="1" s="1"/>
  <c r="K217" i="1"/>
  <c r="L217" i="1" s="1"/>
  <c r="M217" i="1" s="1"/>
  <c r="K216" i="1"/>
  <c r="L216" i="1" s="1"/>
  <c r="M216" i="1" s="1"/>
  <c r="K215" i="1"/>
  <c r="L215" i="1" s="1"/>
  <c r="M215" i="1" s="1"/>
  <c r="K214" i="1"/>
  <c r="L214" i="1" s="1"/>
  <c r="M214" i="1" s="1"/>
  <c r="K213" i="1"/>
  <c r="L213" i="1" s="1"/>
  <c r="M213" i="1" s="1"/>
  <c r="K212" i="1"/>
  <c r="L212" i="1" s="1"/>
  <c r="M212" i="1" s="1"/>
  <c r="K211" i="1"/>
  <c r="L211" i="1" s="1"/>
  <c r="M211" i="1" s="1"/>
  <c r="K210" i="1"/>
  <c r="L210" i="1" s="1"/>
  <c r="M210" i="1" s="1"/>
  <c r="K209" i="1"/>
  <c r="L209" i="1" s="1"/>
  <c r="M209" i="1" s="1"/>
  <c r="K208" i="1"/>
  <c r="L208" i="1" s="1"/>
  <c r="M208" i="1" s="1"/>
  <c r="K207" i="1"/>
  <c r="L207" i="1" s="1"/>
  <c r="M207" i="1" s="1"/>
  <c r="K206" i="1"/>
  <c r="L206" i="1" s="1"/>
  <c r="M206" i="1" s="1"/>
  <c r="K205" i="1"/>
  <c r="L205" i="1" s="1"/>
  <c r="M205" i="1" s="1"/>
  <c r="K204" i="1"/>
  <c r="L204" i="1" s="1"/>
  <c r="M204" i="1" s="1"/>
  <c r="K203" i="1"/>
  <c r="L203" i="1" s="1"/>
  <c r="M203" i="1" s="1"/>
  <c r="K202" i="1"/>
  <c r="L202" i="1" s="1"/>
  <c r="M202" i="1" s="1"/>
  <c r="K201" i="1"/>
  <c r="L201" i="1" s="1"/>
  <c r="M201" i="1" s="1"/>
  <c r="K200" i="1"/>
  <c r="L200" i="1" s="1"/>
  <c r="M200" i="1" s="1"/>
  <c r="K199" i="1"/>
  <c r="L199" i="1" s="1"/>
  <c r="M199" i="1" s="1"/>
  <c r="K198" i="1"/>
  <c r="L198" i="1" s="1"/>
  <c r="M198" i="1" s="1"/>
  <c r="K197" i="1"/>
  <c r="L197" i="1" s="1"/>
  <c r="M197" i="1" s="1"/>
  <c r="K196" i="1"/>
  <c r="L196" i="1" s="1"/>
  <c r="M196" i="1" s="1"/>
  <c r="K195" i="1"/>
  <c r="L195" i="1" s="1"/>
  <c r="M195" i="1" s="1"/>
  <c r="K194" i="1"/>
  <c r="L194" i="1" s="1"/>
  <c r="M194" i="1" s="1"/>
  <c r="K193" i="1"/>
  <c r="L193" i="1" s="1"/>
  <c r="M193" i="1" s="1"/>
  <c r="K192" i="1"/>
  <c r="L192" i="1" s="1"/>
  <c r="M192" i="1" s="1"/>
  <c r="K191" i="1"/>
  <c r="L191" i="1" s="1"/>
  <c r="M191" i="1" s="1"/>
  <c r="K190" i="1"/>
  <c r="L190" i="1" s="1"/>
  <c r="M190" i="1" s="1"/>
  <c r="K189" i="1"/>
  <c r="L189" i="1" s="1"/>
  <c r="M189" i="1" s="1"/>
  <c r="K188" i="1"/>
  <c r="L188" i="1" s="1"/>
  <c r="M188" i="1" s="1"/>
  <c r="K187" i="1"/>
  <c r="L187" i="1" s="1"/>
  <c r="M187" i="1" s="1"/>
  <c r="K186" i="1"/>
  <c r="L186" i="1" s="1"/>
  <c r="M186" i="1" s="1"/>
  <c r="K185" i="1"/>
  <c r="L185" i="1" s="1"/>
  <c r="M185" i="1" s="1"/>
  <c r="K184" i="1"/>
  <c r="L184" i="1" s="1"/>
  <c r="M184" i="1" s="1"/>
  <c r="K183" i="1"/>
  <c r="L183" i="1" s="1"/>
  <c r="M183" i="1" s="1"/>
  <c r="K182" i="1"/>
  <c r="L182" i="1" s="1"/>
  <c r="M182" i="1" s="1"/>
  <c r="K181" i="1"/>
  <c r="L181" i="1" s="1"/>
  <c r="M181" i="1" s="1"/>
  <c r="K180" i="1"/>
  <c r="L180" i="1" s="1"/>
  <c r="M180" i="1" s="1"/>
  <c r="K179" i="1"/>
  <c r="L179" i="1" s="1"/>
  <c r="M179" i="1" s="1"/>
  <c r="K178" i="1"/>
  <c r="L178" i="1" s="1"/>
  <c r="M178" i="1" s="1"/>
  <c r="K177" i="1"/>
  <c r="L177" i="1" s="1"/>
  <c r="M177" i="1" s="1"/>
  <c r="K176" i="1"/>
  <c r="L176" i="1" s="1"/>
  <c r="M176" i="1" s="1"/>
  <c r="K175" i="1"/>
  <c r="L175" i="1" s="1"/>
  <c r="M175" i="1" s="1"/>
  <c r="K174" i="1"/>
  <c r="L174" i="1" s="1"/>
  <c r="M174" i="1" s="1"/>
  <c r="K173" i="1"/>
  <c r="L173" i="1" s="1"/>
  <c r="M173" i="1" s="1"/>
  <c r="K172" i="1"/>
  <c r="L172" i="1" s="1"/>
  <c r="M172" i="1" s="1"/>
  <c r="K171" i="1"/>
  <c r="L171" i="1" s="1"/>
  <c r="M171" i="1" s="1"/>
  <c r="K170" i="1"/>
  <c r="L170" i="1" s="1"/>
  <c r="M170" i="1" s="1"/>
  <c r="K169" i="1"/>
  <c r="L169" i="1" s="1"/>
  <c r="M169" i="1" s="1"/>
  <c r="K168" i="1"/>
  <c r="L168" i="1" s="1"/>
  <c r="M168" i="1" s="1"/>
  <c r="K167" i="1"/>
  <c r="L167" i="1" s="1"/>
  <c r="M167" i="1" s="1"/>
  <c r="K166" i="1"/>
  <c r="L166" i="1" s="1"/>
  <c r="M166" i="1" s="1"/>
  <c r="K165" i="1"/>
  <c r="L165" i="1" s="1"/>
  <c r="M165" i="1" s="1"/>
  <c r="K164" i="1"/>
  <c r="L164" i="1" s="1"/>
  <c r="M164" i="1" s="1"/>
  <c r="K163" i="1"/>
  <c r="L163" i="1" s="1"/>
  <c r="M163" i="1" s="1"/>
  <c r="K162" i="1"/>
  <c r="L162" i="1" s="1"/>
  <c r="M162" i="1" s="1"/>
  <c r="K161" i="1"/>
  <c r="L161" i="1" s="1"/>
  <c r="M161" i="1" s="1"/>
  <c r="K160" i="1"/>
  <c r="L160" i="1" s="1"/>
  <c r="M160" i="1" s="1"/>
  <c r="K159" i="1"/>
  <c r="L159" i="1" s="1"/>
  <c r="M159" i="1" s="1"/>
  <c r="K158" i="1"/>
  <c r="L158" i="1" s="1"/>
  <c r="M158" i="1" s="1"/>
  <c r="K157" i="1"/>
  <c r="L157" i="1" s="1"/>
  <c r="M157" i="1" s="1"/>
  <c r="K156" i="1"/>
  <c r="L156" i="1" s="1"/>
  <c r="M156" i="1" s="1"/>
  <c r="K155" i="1"/>
  <c r="L155" i="1" s="1"/>
  <c r="M155" i="1" s="1"/>
  <c r="K154" i="1"/>
  <c r="L154" i="1" s="1"/>
  <c r="M154" i="1" s="1"/>
  <c r="K153" i="1"/>
  <c r="L153" i="1" s="1"/>
  <c r="M153" i="1" s="1"/>
  <c r="K152" i="1"/>
  <c r="L152" i="1" s="1"/>
  <c r="M152" i="1" s="1"/>
  <c r="K151" i="1"/>
  <c r="L151" i="1" s="1"/>
  <c r="M151" i="1" s="1"/>
  <c r="K150" i="1"/>
  <c r="L150" i="1" s="1"/>
  <c r="M150" i="1" s="1"/>
  <c r="K149" i="1"/>
  <c r="L149" i="1" s="1"/>
  <c r="M149" i="1" s="1"/>
  <c r="K148" i="1"/>
  <c r="L148" i="1" s="1"/>
  <c r="M148" i="1" s="1"/>
  <c r="K147" i="1"/>
  <c r="L147" i="1" s="1"/>
  <c r="M147" i="1" s="1"/>
  <c r="K146" i="1"/>
  <c r="L146" i="1" s="1"/>
  <c r="M146" i="1" s="1"/>
  <c r="K145" i="1"/>
  <c r="L145" i="1" s="1"/>
  <c r="M145" i="1" s="1"/>
  <c r="K144" i="1"/>
  <c r="L144" i="1" s="1"/>
  <c r="M144" i="1" s="1"/>
  <c r="K143" i="1"/>
  <c r="L143" i="1" s="1"/>
  <c r="M143" i="1" s="1"/>
  <c r="K142" i="1"/>
  <c r="L142" i="1" s="1"/>
  <c r="M142" i="1" s="1"/>
  <c r="K141" i="1"/>
  <c r="L141" i="1" s="1"/>
  <c r="M141" i="1" s="1"/>
  <c r="K140" i="1"/>
  <c r="L140" i="1" s="1"/>
  <c r="M140" i="1" s="1"/>
  <c r="K139" i="1"/>
  <c r="L139" i="1" s="1"/>
  <c r="M139" i="1" s="1"/>
  <c r="K138" i="1"/>
  <c r="L138" i="1" s="1"/>
  <c r="M138" i="1" s="1"/>
  <c r="K137" i="1"/>
  <c r="L137" i="1" s="1"/>
  <c r="M137" i="1" s="1"/>
  <c r="K136" i="1"/>
  <c r="L136" i="1" s="1"/>
  <c r="M136" i="1" s="1"/>
  <c r="K135" i="1"/>
  <c r="L135" i="1" s="1"/>
  <c r="M135" i="1" s="1"/>
  <c r="K134" i="1"/>
  <c r="L134" i="1" s="1"/>
  <c r="M134" i="1" s="1"/>
  <c r="K133" i="1"/>
  <c r="L133" i="1" s="1"/>
  <c r="M133" i="1" s="1"/>
  <c r="K132" i="1"/>
  <c r="L132" i="1" s="1"/>
  <c r="M132" i="1" s="1"/>
  <c r="K131" i="1"/>
  <c r="L131" i="1" s="1"/>
  <c r="M131" i="1" s="1"/>
  <c r="K130" i="1"/>
  <c r="L130" i="1" s="1"/>
  <c r="M130" i="1" s="1"/>
  <c r="K129" i="1"/>
  <c r="L129" i="1" s="1"/>
  <c r="M129" i="1" s="1"/>
  <c r="K128" i="1"/>
  <c r="L128" i="1" s="1"/>
  <c r="M128" i="1" s="1"/>
  <c r="K127" i="1"/>
  <c r="L127" i="1" s="1"/>
  <c r="M127" i="1" s="1"/>
  <c r="K126" i="1"/>
  <c r="L126" i="1" s="1"/>
  <c r="M126" i="1" s="1"/>
  <c r="K125" i="1"/>
  <c r="L125" i="1" s="1"/>
  <c r="M125" i="1" s="1"/>
  <c r="K124" i="1"/>
  <c r="L124" i="1" s="1"/>
  <c r="M124" i="1" s="1"/>
  <c r="K123" i="1"/>
  <c r="L123" i="1" s="1"/>
  <c r="M123" i="1" s="1"/>
  <c r="K122" i="1"/>
  <c r="L122" i="1" s="1"/>
  <c r="M122" i="1" s="1"/>
  <c r="K121" i="1"/>
  <c r="L121" i="1" s="1"/>
  <c r="M121" i="1" s="1"/>
  <c r="K120" i="1"/>
  <c r="L120" i="1" s="1"/>
  <c r="M120" i="1" s="1"/>
  <c r="K119" i="1"/>
  <c r="L119" i="1" s="1"/>
  <c r="M119" i="1" s="1"/>
  <c r="K118" i="1"/>
  <c r="L118" i="1" s="1"/>
  <c r="M118" i="1" s="1"/>
  <c r="K117" i="1"/>
  <c r="L117" i="1" s="1"/>
  <c r="M117" i="1" s="1"/>
  <c r="K116" i="1"/>
  <c r="L116" i="1" s="1"/>
  <c r="M116" i="1" s="1"/>
  <c r="K115" i="1"/>
  <c r="L115" i="1" s="1"/>
  <c r="M115" i="1" s="1"/>
  <c r="K114" i="1"/>
  <c r="L114" i="1" s="1"/>
  <c r="M114" i="1" s="1"/>
  <c r="K113" i="1"/>
  <c r="L113" i="1" s="1"/>
  <c r="M113" i="1" s="1"/>
  <c r="K112" i="1"/>
  <c r="L112" i="1" s="1"/>
  <c r="M112" i="1" s="1"/>
  <c r="K111" i="1"/>
  <c r="L111" i="1" s="1"/>
  <c r="M111" i="1" s="1"/>
  <c r="K110" i="1"/>
  <c r="L110" i="1" s="1"/>
  <c r="M110" i="1" s="1"/>
  <c r="K109" i="1"/>
  <c r="L109" i="1" s="1"/>
  <c r="M109" i="1" s="1"/>
  <c r="K108" i="1"/>
  <c r="L108" i="1" s="1"/>
  <c r="M108" i="1" s="1"/>
  <c r="K107" i="1"/>
  <c r="L107" i="1" s="1"/>
  <c r="M107" i="1" s="1"/>
  <c r="K106" i="1"/>
  <c r="L106" i="1" s="1"/>
  <c r="M106" i="1" s="1"/>
  <c r="K105" i="1"/>
  <c r="L105" i="1" s="1"/>
  <c r="M105" i="1" s="1"/>
  <c r="K104" i="1"/>
  <c r="L104" i="1" s="1"/>
  <c r="M104" i="1" s="1"/>
  <c r="K103" i="1"/>
  <c r="L103" i="1" s="1"/>
  <c r="M103" i="1" s="1"/>
  <c r="K102" i="1"/>
  <c r="L102" i="1" s="1"/>
  <c r="M102" i="1" s="1"/>
  <c r="K101" i="1"/>
  <c r="L101" i="1" s="1"/>
  <c r="M101" i="1" s="1"/>
  <c r="K100" i="1"/>
  <c r="L100" i="1" s="1"/>
  <c r="M100" i="1" s="1"/>
  <c r="K99" i="1"/>
  <c r="L99" i="1" s="1"/>
  <c r="M99" i="1" s="1"/>
  <c r="K98" i="1"/>
  <c r="L98" i="1" s="1"/>
  <c r="M98" i="1" s="1"/>
  <c r="K97" i="1"/>
  <c r="L97" i="1" s="1"/>
  <c r="M97" i="1" s="1"/>
  <c r="K96" i="1"/>
  <c r="L96" i="1" s="1"/>
  <c r="M96" i="1" s="1"/>
  <c r="K95" i="1"/>
  <c r="L95" i="1" s="1"/>
  <c r="M95" i="1" s="1"/>
  <c r="K94" i="1"/>
  <c r="L94" i="1" s="1"/>
  <c r="M94" i="1" s="1"/>
  <c r="K93" i="1"/>
  <c r="L93" i="1" s="1"/>
  <c r="M93" i="1" s="1"/>
  <c r="K92" i="1"/>
  <c r="L92" i="1" s="1"/>
  <c r="M92" i="1" s="1"/>
  <c r="K91" i="1"/>
  <c r="L91" i="1" s="1"/>
  <c r="M91" i="1" s="1"/>
  <c r="K90" i="1"/>
  <c r="L90" i="1" s="1"/>
  <c r="M90" i="1" s="1"/>
  <c r="K89" i="1"/>
  <c r="L89" i="1" s="1"/>
  <c r="M89" i="1" s="1"/>
  <c r="K88" i="1"/>
  <c r="L88" i="1" s="1"/>
  <c r="M88" i="1" s="1"/>
  <c r="K87" i="1"/>
  <c r="L87" i="1" s="1"/>
  <c r="M87" i="1" s="1"/>
  <c r="K86" i="1"/>
  <c r="L86" i="1" s="1"/>
  <c r="M86" i="1" s="1"/>
  <c r="K85" i="1"/>
  <c r="L85" i="1" s="1"/>
  <c r="M85" i="1" s="1"/>
  <c r="K84" i="1"/>
  <c r="L84" i="1" s="1"/>
  <c r="M84" i="1" s="1"/>
  <c r="K83" i="1"/>
  <c r="L83" i="1" s="1"/>
  <c r="M83" i="1" s="1"/>
  <c r="K82" i="1"/>
  <c r="L82" i="1" s="1"/>
  <c r="M82" i="1" s="1"/>
  <c r="K81" i="1"/>
  <c r="L81" i="1" s="1"/>
  <c r="M81" i="1" s="1"/>
  <c r="K80" i="1"/>
  <c r="L80" i="1" s="1"/>
  <c r="M80" i="1" s="1"/>
  <c r="K79" i="1"/>
  <c r="L79" i="1" s="1"/>
  <c r="M79" i="1" s="1"/>
  <c r="K78" i="1"/>
  <c r="L78" i="1" s="1"/>
  <c r="M78" i="1" s="1"/>
  <c r="K77" i="1"/>
  <c r="L77" i="1" s="1"/>
  <c r="M77" i="1" s="1"/>
  <c r="K76" i="1"/>
  <c r="L76" i="1" s="1"/>
  <c r="M76" i="1" s="1"/>
  <c r="K75" i="1"/>
  <c r="L75" i="1" s="1"/>
  <c r="M75" i="1" s="1"/>
  <c r="K74" i="1"/>
  <c r="L74" i="1" s="1"/>
  <c r="M74" i="1" s="1"/>
  <c r="K73" i="1"/>
  <c r="L73" i="1" s="1"/>
  <c r="M73" i="1" s="1"/>
  <c r="K72" i="1"/>
  <c r="L72" i="1" s="1"/>
  <c r="M72" i="1" s="1"/>
  <c r="K71" i="1"/>
  <c r="L71" i="1" s="1"/>
  <c r="M71" i="1" s="1"/>
  <c r="K70" i="1"/>
  <c r="L70" i="1" s="1"/>
  <c r="M70" i="1" s="1"/>
  <c r="K69" i="1"/>
  <c r="L69" i="1" s="1"/>
  <c r="M69" i="1" s="1"/>
  <c r="K68" i="1"/>
  <c r="L68" i="1" s="1"/>
  <c r="M68" i="1" s="1"/>
  <c r="K67" i="1"/>
  <c r="L67" i="1" s="1"/>
  <c r="M67" i="1" s="1"/>
  <c r="K66" i="1"/>
  <c r="L66" i="1" s="1"/>
  <c r="M66" i="1" s="1"/>
  <c r="K65" i="1"/>
  <c r="L65" i="1" s="1"/>
  <c r="M65" i="1" s="1"/>
  <c r="K64" i="1"/>
  <c r="L64" i="1" s="1"/>
  <c r="M64" i="1" s="1"/>
  <c r="K63" i="1"/>
  <c r="L63" i="1" s="1"/>
  <c r="M63" i="1" s="1"/>
  <c r="K62" i="1"/>
  <c r="L62" i="1" s="1"/>
  <c r="M62" i="1" s="1"/>
  <c r="K61" i="1"/>
  <c r="L61" i="1" s="1"/>
  <c r="M61" i="1" s="1"/>
  <c r="K60" i="1"/>
  <c r="L60" i="1" s="1"/>
  <c r="M60" i="1" s="1"/>
  <c r="K59" i="1"/>
  <c r="L59" i="1" s="1"/>
  <c r="M59" i="1" s="1"/>
  <c r="K58" i="1"/>
  <c r="L58" i="1" s="1"/>
  <c r="M58" i="1" s="1"/>
  <c r="K57" i="1"/>
  <c r="L57" i="1" s="1"/>
  <c r="M57" i="1" s="1"/>
  <c r="K56" i="1"/>
  <c r="L56" i="1" s="1"/>
  <c r="M56" i="1" s="1"/>
  <c r="K55" i="1"/>
  <c r="L55" i="1" s="1"/>
  <c r="M55" i="1" s="1"/>
  <c r="K54" i="1"/>
  <c r="L54" i="1" s="1"/>
  <c r="M54" i="1" s="1"/>
  <c r="K53" i="1"/>
  <c r="L53" i="1" s="1"/>
  <c r="M53" i="1" s="1"/>
  <c r="K52" i="1"/>
  <c r="L52" i="1" s="1"/>
  <c r="M52" i="1" s="1"/>
  <c r="K51" i="1"/>
  <c r="L51" i="1" s="1"/>
  <c r="M51" i="1" s="1"/>
  <c r="K50" i="1"/>
  <c r="L50" i="1" s="1"/>
  <c r="M50" i="1" s="1"/>
  <c r="K49" i="1"/>
  <c r="L49" i="1" s="1"/>
  <c r="M49" i="1" s="1"/>
  <c r="K48" i="1"/>
  <c r="L48" i="1" s="1"/>
  <c r="M48" i="1" s="1"/>
  <c r="K47" i="1"/>
  <c r="L47" i="1" s="1"/>
  <c r="M47" i="1" s="1"/>
  <c r="K46" i="1"/>
  <c r="L46" i="1" s="1"/>
  <c r="M46" i="1" s="1"/>
  <c r="K45" i="1"/>
  <c r="L45" i="1" s="1"/>
  <c r="M45" i="1" s="1"/>
  <c r="K44" i="1"/>
  <c r="L44" i="1" s="1"/>
  <c r="M44" i="1" s="1"/>
  <c r="K43" i="1"/>
  <c r="L43" i="1" s="1"/>
  <c r="M43" i="1" s="1"/>
  <c r="K42" i="1"/>
  <c r="L42" i="1" s="1"/>
  <c r="M42" i="1" s="1"/>
  <c r="K41" i="1"/>
  <c r="L41" i="1" s="1"/>
  <c r="M41" i="1" s="1"/>
  <c r="K40" i="1"/>
  <c r="L40" i="1" s="1"/>
  <c r="M40" i="1" s="1"/>
  <c r="K39" i="1"/>
  <c r="L39" i="1" s="1"/>
  <c r="M39" i="1" s="1"/>
  <c r="K38" i="1"/>
  <c r="L38" i="1" s="1"/>
  <c r="M38" i="1" s="1"/>
  <c r="K37" i="1"/>
  <c r="L37" i="1" s="1"/>
  <c r="M37" i="1" s="1"/>
  <c r="K36" i="1"/>
  <c r="L36" i="1" s="1"/>
  <c r="M36" i="1" s="1"/>
  <c r="K35" i="1"/>
  <c r="L35" i="1" s="1"/>
  <c r="M35" i="1" s="1"/>
  <c r="K34" i="1"/>
  <c r="L34" i="1" s="1"/>
  <c r="M34" i="1" s="1"/>
  <c r="K33" i="1"/>
  <c r="L33" i="1" s="1"/>
  <c r="M33" i="1" s="1"/>
  <c r="K32" i="1"/>
  <c r="L32" i="1" s="1"/>
  <c r="M32" i="1" s="1"/>
  <c r="K31" i="1"/>
  <c r="L31" i="1" s="1"/>
  <c r="M31" i="1" s="1"/>
  <c r="K30" i="1"/>
  <c r="L30" i="1" s="1"/>
  <c r="M30" i="1" s="1"/>
  <c r="K29" i="1"/>
  <c r="L29" i="1" s="1"/>
  <c r="M29" i="1" s="1"/>
  <c r="K28" i="1"/>
  <c r="L28" i="1" s="1"/>
  <c r="M28" i="1" s="1"/>
  <c r="K27" i="1"/>
  <c r="L27" i="1" s="1"/>
  <c r="M27" i="1" s="1"/>
  <c r="K26" i="1"/>
  <c r="L26" i="1" s="1"/>
  <c r="M26" i="1" s="1"/>
  <c r="K25" i="1"/>
  <c r="L25" i="1" s="1"/>
  <c r="M25" i="1" s="1"/>
  <c r="K24" i="1"/>
  <c r="L24" i="1" s="1"/>
  <c r="M24" i="1" s="1"/>
  <c r="K23" i="1"/>
  <c r="L23" i="1" s="1"/>
  <c r="M23" i="1" s="1"/>
  <c r="K22" i="1"/>
  <c r="L22" i="1" s="1"/>
  <c r="M22" i="1" s="1"/>
  <c r="K21" i="1"/>
  <c r="L21" i="1" s="1"/>
  <c r="M21" i="1" s="1"/>
  <c r="K20" i="1"/>
  <c r="L20" i="1" s="1"/>
  <c r="M20" i="1" s="1"/>
  <c r="K19" i="1"/>
  <c r="L19" i="1" s="1"/>
  <c r="M19" i="1" s="1"/>
  <c r="K18" i="1"/>
  <c r="L18" i="1" s="1"/>
  <c r="M18" i="1" s="1"/>
  <c r="K17" i="1"/>
  <c r="L17" i="1" s="1"/>
  <c r="M17" i="1" s="1"/>
  <c r="K16" i="1"/>
  <c r="L16" i="1" s="1"/>
  <c r="M16" i="1" s="1"/>
  <c r="K15" i="1"/>
  <c r="L15" i="1" s="1"/>
  <c r="M15" i="1" s="1"/>
  <c r="K14" i="1"/>
  <c r="L14" i="1" s="1"/>
  <c r="M14" i="1" s="1"/>
  <c r="K13" i="1"/>
  <c r="L13" i="1" s="1"/>
  <c r="M13" i="1" s="1"/>
  <c r="K12" i="1"/>
  <c r="L12" i="1" s="1"/>
  <c r="M12" i="1" s="1"/>
  <c r="K11" i="1"/>
  <c r="L11" i="1" s="1"/>
  <c r="M11" i="1" s="1"/>
  <c r="K10" i="1"/>
  <c r="D5" i="1" s="1"/>
  <c r="A48" i="5"/>
  <c r="A47" i="5"/>
  <c r="A46" i="5"/>
  <c r="A45" i="5"/>
  <c r="A44" i="5"/>
  <c r="J15" i="5"/>
  <c r="G15" i="5"/>
  <c r="D15" i="5"/>
  <c r="A15" i="5"/>
  <c r="E16" i="7"/>
  <c r="F16" i="7" s="1"/>
  <c r="E6" i="7"/>
  <c r="E15" i="7"/>
  <c r="F15" i="7" s="1"/>
  <c r="E5" i="7"/>
  <c r="E14" i="7"/>
  <c r="F14" i="7" s="1"/>
  <c r="E4" i="7"/>
  <c r="E13" i="7"/>
  <c r="F13" i="7" s="1"/>
  <c r="E3" i="7"/>
  <c r="E12" i="7"/>
  <c r="F12" i="7" s="1"/>
  <c r="E2" i="7"/>
  <c r="A17" i="7"/>
  <c r="B17" i="7" s="1"/>
  <c r="A7" i="7"/>
  <c r="A16" i="7"/>
  <c r="B16" i="7" s="1"/>
  <c r="A6" i="7"/>
  <c r="A15" i="7"/>
  <c r="B15" i="7" s="1"/>
  <c r="A5" i="7"/>
  <c r="A14" i="7"/>
  <c r="B14" i="7" s="1"/>
  <c r="A4" i="7"/>
  <c r="A13" i="7"/>
  <c r="B13" i="7" s="1"/>
  <c r="A3" i="7"/>
  <c r="A12" i="7"/>
  <c r="B12" i="7" s="1"/>
  <c r="A2" i="7"/>
  <c r="P288" i="1" a="1"/>
  <c r="M287" i="1" l="1"/>
  <c r="P287" i="1" s="1" a="1"/>
  <c r="M286" i="1"/>
  <c r="P286" i="1" s="1" a="1"/>
  <c r="M285" i="1"/>
  <c r="P285" i="1" a="1"/>
  <c r="M283" i="1"/>
  <c r="P283" i="1" s="1" a="1"/>
  <c r="M282" i="1"/>
  <c r="P282" i="1" s="1" a="1"/>
  <c r="M281" i="1"/>
  <c r="P281" i="1" s="1" a="1"/>
  <c r="M280" i="1"/>
  <c r="P280" i="1" a="1"/>
  <c r="M279" i="1"/>
  <c r="P279" i="1" s="1" a="1"/>
  <c r="M278" i="1"/>
  <c r="P278" i="1" s="1" a="1"/>
  <c r="M277" i="1"/>
  <c r="P277" i="1" a="1"/>
  <c r="M276" i="1"/>
  <c r="P276" i="1" s="1" a="1"/>
  <c r="M275" i="1"/>
  <c r="P275" i="1" s="1" a="1"/>
  <c r="M274" i="1"/>
  <c r="P274" i="1" s="1" a="1"/>
  <c r="M273" i="1"/>
  <c r="P273" i="1" a="1"/>
  <c r="M272" i="1"/>
  <c r="P272" i="1" a="1"/>
  <c r="M271" i="1"/>
  <c r="P271" i="1" a="1"/>
  <c r="M270" i="1"/>
  <c r="P270" i="1" a="1"/>
  <c r="M269" i="1"/>
  <c r="P269" i="1" a="1"/>
  <c r="M268" i="1"/>
  <c r="P268" i="1" a="1"/>
  <c r="M267" i="1"/>
  <c r="P267" i="1" a="1"/>
  <c r="M266" i="1"/>
  <c r="P266" i="1" a="1"/>
  <c r="M265" i="1"/>
  <c r="P265" i="1" a="1"/>
  <c r="M264" i="1"/>
  <c r="P264" i="1" s="1" a="1"/>
  <c r="M263" i="1"/>
  <c r="P263" i="1" a="1"/>
  <c r="M262" i="1"/>
  <c r="P262" i="1" a="1"/>
  <c r="M261" i="1"/>
  <c r="P261" i="1" a="1"/>
  <c r="M260" i="1"/>
  <c r="P260" i="1" a="1"/>
  <c r="M259" i="1"/>
  <c r="P259" i="1" a="1"/>
  <c r="M258" i="1"/>
  <c r="P258" i="1" a="1"/>
  <c r="M257" i="1"/>
  <c r="P257" i="1" a="1"/>
  <c r="M256" i="1"/>
  <c r="P256" i="1" a="1"/>
  <c r="M255" i="1"/>
  <c r="P255" i="1" a="1"/>
  <c r="M254" i="1"/>
  <c r="P254" i="1" a="1"/>
  <c r="M253" i="1"/>
  <c r="P253" i="1" a="1"/>
  <c r="M252" i="1"/>
  <c r="P252" i="1" a="1"/>
  <c r="M251" i="1"/>
  <c r="P251" i="1" a="1"/>
  <c r="M250" i="1"/>
  <c r="P250" i="1" a="1"/>
  <c r="M249" i="1"/>
  <c r="P249" i="1" a="1"/>
  <c r="M248" i="1"/>
  <c r="P248" i="1" a="1"/>
  <c r="M247" i="1"/>
  <c r="P247" i="1" a="1"/>
  <c r="M246" i="1"/>
  <c r="P246" i="1" a="1"/>
  <c r="M245" i="1"/>
  <c r="P245" i="1" a="1"/>
  <c r="M244" i="1"/>
  <c r="P244" i="1" a="1"/>
  <c r="M243" i="1"/>
  <c r="P243" i="1" a="1"/>
  <c r="M242" i="1"/>
  <c r="P242" i="1" a="1"/>
  <c r="M241" i="1"/>
  <c r="P241" i="1" s="1" a="1"/>
  <c r="M240" i="1"/>
  <c r="P240" i="1" a="1"/>
  <c r="M239" i="1"/>
  <c r="P239" i="1" a="1"/>
  <c r="M238" i="1"/>
  <c r="P238" i="1" a="1"/>
  <c r="M237" i="1"/>
  <c r="P237" i="1" a="1"/>
  <c r="M236" i="1"/>
  <c r="P236" i="1" a="1"/>
  <c r="M235" i="1"/>
  <c r="P235" i="1" a="1"/>
  <c r="M234" i="1"/>
  <c r="P234" i="1" a="1"/>
  <c r="M233" i="1"/>
  <c r="P233" i="1" a="1"/>
  <c r="M232" i="1"/>
  <c r="P232" i="1" a="1"/>
  <c r="M231" i="1"/>
  <c r="P231" i="1" a="1"/>
  <c r="M230" i="1"/>
  <c r="P230" i="1" a="1"/>
  <c r="M229" i="1"/>
  <c r="P229" i="1" a="1"/>
  <c r="M228" i="1"/>
  <c r="P228" i="1" a="1"/>
  <c r="M227" i="1"/>
  <c r="P227" i="1" a="1"/>
  <c r="M226" i="1"/>
  <c r="P226" i="1" a="1"/>
  <c r="M225" i="1"/>
  <c r="P225" i="1" a="1"/>
  <c r="M224" i="1"/>
  <c r="P224" i="1" a="1"/>
  <c r="M223" i="1"/>
  <c r="P223" i="1" a="1"/>
  <c r="M222" i="1"/>
  <c r="P222" i="1" a="1"/>
  <c r="M221" i="1"/>
  <c r="P221" i="1" a="1"/>
  <c r="M220" i="1"/>
  <c r="P220" i="1" a="1"/>
  <c r="M219" i="1"/>
  <c r="P219" i="1" a="1"/>
  <c r="M218" i="1"/>
  <c r="P218" i="1" s="1" a="1"/>
  <c r="K288" i="1"/>
  <c r="L10" i="1"/>
  <c r="P147" i="1" a="1"/>
  <c r="P148" i="1" a="1"/>
  <c r="P149" i="1" a="1"/>
  <c r="P150" i="1" a="1"/>
  <c r="P151" i="1" a="1"/>
  <c r="P206" i="1" a="1"/>
  <c r="P207" i="1" a="1"/>
  <c r="P209" i="1" a="1"/>
  <c r="P210" i="1" a="1"/>
  <c r="P211" i="1" a="1"/>
  <c r="P212" i="1" a="1"/>
  <c r="P213" i="1" a="1"/>
  <c r="P214" i="1" a="1"/>
  <c r="P215" i="1" a="1"/>
  <c r="P216" i="1" a="1"/>
  <c r="P217" i="1" a="1"/>
  <c r="P11" i="1" a="1"/>
  <c r="P12" i="1" a="1"/>
  <c r="C7" i="7"/>
  <c r="B7" i="7"/>
  <c r="C6" i="7"/>
  <c r="B6" i="7"/>
  <c r="C5" i="7"/>
  <c r="B5" i="7"/>
  <c r="B4" i="7"/>
  <c r="C4" i="7"/>
  <c r="C3" i="7"/>
  <c r="B3" i="7"/>
  <c r="G6" i="7"/>
  <c r="F6" i="7"/>
  <c r="G5" i="7"/>
  <c r="F5" i="7"/>
  <c r="G4" i="7"/>
  <c r="F4" i="7"/>
  <c r="F3" i="7"/>
  <c r="G3" i="7"/>
  <c r="G2" i="7"/>
  <c r="F2" i="7"/>
  <c r="C2" i="7"/>
  <c r="B2" i="7"/>
  <c r="P13" i="1" a="1"/>
  <c r="P14" i="1" a="1"/>
  <c r="P15" i="1" a="1"/>
  <c r="P16" i="1" a="1"/>
  <c r="P18" i="1" a="1"/>
  <c r="P19" i="1" a="1"/>
  <c r="P20" i="1" a="1"/>
  <c r="P21" i="1" a="1"/>
  <c r="P22" i="1" a="1"/>
  <c r="P23" i="1" a="1"/>
  <c r="P24" i="1" a="1"/>
  <c r="P25" i="1" a="1"/>
  <c r="P26" i="1" a="1"/>
  <c r="P27" i="1" a="1"/>
  <c r="P28" i="1" a="1"/>
  <c r="P29" i="1" a="1"/>
  <c r="P30" i="1" a="1"/>
  <c r="P31" i="1" a="1"/>
  <c r="P32" i="1" a="1"/>
  <c r="P33" i="1" a="1"/>
  <c r="P34" i="1" a="1"/>
  <c r="P35" i="1" a="1"/>
  <c r="P36" i="1" a="1"/>
  <c r="P37" i="1" a="1"/>
  <c r="P38" i="1" a="1"/>
  <c r="P39" i="1" a="1"/>
  <c r="P40" i="1" a="1"/>
  <c r="P41" i="1" a="1"/>
  <c r="P42" i="1" a="1"/>
  <c r="P43" i="1" a="1"/>
  <c r="P44" i="1" a="1"/>
  <c r="P45" i="1" a="1"/>
  <c r="P46" i="1" a="1"/>
  <c r="P47" i="1" a="1"/>
  <c r="P48" i="1" a="1"/>
  <c r="P49" i="1" a="1"/>
  <c r="P50" i="1" a="1"/>
  <c r="P51" i="1" a="1"/>
  <c r="P52" i="1" a="1"/>
  <c r="P53" i="1" a="1"/>
  <c r="P54" i="1" a="1"/>
  <c r="P55" i="1" a="1"/>
  <c r="P56" i="1" a="1"/>
  <c r="P57" i="1" a="1"/>
  <c r="P58" i="1" a="1"/>
  <c r="P59" i="1" a="1"/>
  <c r="P60" i="1" a="1"/>
  <c r="P61" i="1" a="1"/>
  <c r="P62" i="1" a="1"/>
  <c r="P63" i="1" a="1"/>
  <c r="P64" i="1" a="1"/>
  <c r="P65" i="1" a="1"/>
  <c r="P66" i="1" a="1"/>
  <c r="P67" i="1" a="1"/>
  <c r="P68" i="1" a="1"/>
  <c r="P69" i="1" a="1"/>
  <c r="P70" i="1" a="1"/>
  <c r="P71" i="1" a="1"/>
  <c r="P72" i="1" a="1"/>
  <c r="P73" i="1" a="1"/>
  <c r="P74" i="1" a="1"/>
  <c r="P75" i="1" a="1"/>
  <c r="P76" i="1" a="1"/>
  <c r="P77" i="1" a="1"/>
  <c r="P78" i="1" a="1"/>
  <c r="P79" i="1" a="1"/>
  <c r="P80" i="1" a="1"/>
  <c r="P81" i="1" a="1"/>
  <c r="P82" i="1" a="1"/>
  <c r="P83" i="1" a="1"/>
  <c r="P84" i="1" a="1"/>
  <c r="P85" i="1" a="1"/>
  <c r="P86" i="1" a="1"/>
  <c r="P87" i="1" a="1"/>
  <c r="P88" i="1" a="1"/>
  <c r="P89" i="1" a="1"/>
  <c r="P90" i="1" a="1"/>
  <c r="P91" i="1" a="1"/>
  <c r="P92" i="1" a="1"/>
  <c r="P93" i="1" a="1"/>
  <c r="P94" i="1" a="1"/>
  <c r="P95" i="1" a="1"/>
  <c r="P96" i="1" a="1"/>
  <c r="P97" i="1" a="1"/>
  <c r="P98" i="1" a="1"/>
  <c r="P99" i="1" a="1"/>
  <c r="P100" i="1" a="1"/>
  <c r="P101" i="1" a="1"/>
  <c r="P102" i="1" a="1"/>
  <c r="P103" i="1" a="1"/>
  <c r="P104" i="1" a="1"/>
  <c r="P105" i="1" a="1"/>
  <c r="P106" i="1" a="1"/>
  <c r="P107" i="1" a="1"/>
  <c r="P108" i="1" a="1"/>
  <c r="P109" i="1" a="1"/>
  <c r="P110" i="1" a="1"/>
  <c r="P111" i="1" a="1"/>
  <c r="P112" i="1" a="1"/>
  <c r="P113" i="1" a="1"/>
  <c r="P114" i="1" a="1"/>
  <c r="P115" i="1" a="1"/>
  <c r="P116" i="1" a="1"/>
  <c r="P117" i="1" a="1"/>
  <c r="P118" i="1" a="1"/>
  <c r="P119" i="1" a="1"/>
  <c r="P120" i="1" a="1"/>
  <c r="P121" i="1" a="1"/>
  <c r="P122" i="1" a="1"/>
  <c r="P124" i="1" a="1"/>
  <c r="P125" i="1" a="1"/>
  <c r="P126" i="1" a="1"/>
  <c r="P127" i="1" a="1"/>
  <c r="P128" i="1" a="1"/>
  <c r="P129" i="1" a="1"/>
  <c r="P130" i="1" a="1"/>
  <c r="P131" i="1" a="1"/>
  <c r="P132" i="1" a="1"/>
  <c r="P133" i="1" a="1"/>
  <c r="P134" i="1" a="1"/>
  <c r="P135" i="1" a="1"/>
  <c r="P136" i="1" a="1"/>
  <c r="P137" i="1" a="1"/>
  <c r="P138" i="1" a="1"/>
  <c r="P139" i="1" a="1"/>
  <c r="P140" i="1" a="1"/>
  <c r="P141" i="1" a="1"/>
  <c r="P142" i="1" a="1"/>
  <c r="P143" i="1" a="1"/>
  <c r="P144" i="1" a="1"/>
  <c r="P145" i="1" a="1"/>
  <c r="P146" i="1" a="1"/>
  <c r="P152" i="1" a="1"/>
  <c r="P153" i="1" a="1"/>
  <c r="P154" i="1" a="1"/>
  <c r="P155" i="1" a="1"/>
  <c r="P156" i="1" a="1"/>
  <c r="P157" i="1" a="1"/>
  <c r="P158" i="1" a="1"/>
  <c r="P159" i="1" a="1"/>
  <c r="P160" i="1" a="1"/>
  <c r="P161" i="1" a="1"/>
  <c r="P162" i="1" a="1"/>
  <c r="P163" i="1" a="1"/>
  <c r="P164" i="1" a="1"/>
  <c r="P165" i="1" a="1"/>
  <c r="P166" i="1" a="1"/>
  <c r="P167" i="1" a="1"/>
  <c r="P168" i="1" a="1"/>
  <c r="P169" i="1" a="1"/>
  <c r="P170" i="1" a="1"/>
  <c r="P171" i="1" a="1"/>
  <c r="P172" i="1" a="1"/>
  <c r="P173" i="1" a="1"/>
  <c r="P174" i="1" a="1"/>
  <c r="P175" i="1" a="1"/>
  <c r="P176" i="1" a="1"/>
  <c r="P177" i="1" a="1"/>
  <c r="P178" i="1" a="1"/>
  <c r="P179" i="1" a="1"/>
  <c r="P180" i="1" a="1"/>
  <c r="P182" i="1" a="1"/>
  <c r="P183" i="1" a="1"/>
  <c r="P184" i="1" a="1"/>
  <c r="P185" i="1" a="1"/>
  <c r="P186" i="1" a="1"/>
  <c r="P188" i="1" a="1"/>
  <c r="P189" i="1" a="1"/>
  <c r="P190" i="1" a="1"/>
  <c r="P191" i="1" a="1"/>
  <c r="P192" i="1" a="1"/>
  <c r="P193" i="1" a="1"/>
  <c r="P194" i="1" a="1"/>
  <c r="P195" i="1" a="1"/>
  <c r="P196" i="1" a="1"/>
  <c r="P197" i="1" a="1"/>
  <c r="P198" i="1" a="1"/>
  <c r="P199" i="1" a="1"/>
  <c r="P200" i="1" a="1"/>
  <c r="P201" i="1" a="1"/>
  <c r="P202" i="1" a="1"/>
  <c r="P203" i="1" a="1"/>
  <c r="P204" i="1" a="1"/>
  <c r="P205" i="1" a="1"/>
  <c r="P208" i="1" a="1"/>
  <c r="G5" i="1" l="1"/>
  <c r="J5" i="1"/>
  <c r="M10" i="1"/>
  <c r="L288" i="1"/>
  <c r="M288" i="1" s="1"/>
  <c r="P17" i="1" a="1"/>
  <c r="P123" i="1" a="1"/>
  <c r="P181" i="1" a="1"/>
  <c r="P187" i="1" a="1"/>
  <c r="P284" i="1" a="1"/>
  <c r="P10" i="1" l="1" a="1"/>
  <c r="U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<sst xmlns="http://schemas.openxmlformats.org/spreadsheetml/2006/main" count="3997" uniqueCount="912">
  <si>
    <t>Order ID</t>
  </si>
  <si>
    <t>Order Date</t>
  </si>
  <si>
    <t>Product Name</t>
  </si>
  <si>
    <t>Category</t>
  </si>
  <si>
    <t>Region</t>
  </si>
  <si>
    <t>Quantity</t>
  </si>
  <si>
    <t>Unit Price</t>
  </si>
  <si>
    <t>Cost Price</t>
  </si>
  <si>
    <t>Order Status</t>
  </si>
  <si>
    <t>Payment Method</t>
  </si>
  <si>
    <t>ORD84273</t>
  </si>
  <si>
    <t>Study Table</t>
  </si>
  <si>
    <t>Furniture</t>
  </si>
  <si>
    <t>South</t>
  </si>
  <si>
    <t>Returned</t>
  </si>
  <si>
    <t>credit card</t>
  </si>
  <si>
    <t>Mixer Grinder</t>
  </si>
  <si>
    <t>Appliances</t>
  </si>
  <si>
    <t>Central</t>
  </si>
  <si>
    <t>Delivered</t>
  </si>
  <si>
    <t>ORD30032</t>
  </si>
  <si>
    <t>Cotton T-Shirt</t>
  </si>
  <si>
    <t>Fashion</t>
  </si>
  <si>
    <t>West</t>
  </si>
  <si>
    <t>Cancelled</t>
  </si>
  <si>
    <t>ORD63635</t>
  </si>
  <si>
    <t>Credit Card</t>
  </si>
  <si>
    <t>Stationery</t>
  </si>
  <si>
    <t>East</t>
  </si>
  <si>
    <t>ORD76470</t>
  </si>
  <si>
    <t>Redmi Note 13</t>
  </si>
  <si>
    <t>Electronics</t>
  </si>
  <si>
    <t>North</t>
  </si>
  <si>
    <t>Shipped</t>
  </si>
  <si>
    <t>UPI</t>
  </si>
  <si>
    <t>ORD84416</t>
  </si>
  <si>
    <t>ORD67364</t>
  </si>
  <si>
    <t>Coffee Mug</t>
  </si>
  <si>
    <t>Home Decor</t>
  </si>
  <si>
    <t>ORD41659</t>
  </si>
  <si>
    <t>SOUTH</t>
  </si>
  <si>
    <t>Processing</t>
  </si>
  <si>
    <t>ORD11452</t>
  </si>
  <si>
    <t>ORD69219</t>
  </si>
  <si>
    <t>Samsung Galaxy M14</t>
  </si>
  <si>
    <t>ORD22795</t>
  </si>
  <si>
    <t>Notebook Pack</t>
  </si>
  <si>
    <t>Debit Card</t>
  </si>
  <si>
    <t>ORD10414</t>
  </si>
  <si>
    <t>Running Shoes</t>
  </si>
  <si>
    <t>ORD30297</t>
  </si>
  <si>
    <t>Bluetooth Speaker</t>
  </si>
  <si>
    <t>Cash</t>
  </si>
  <si>
    <t>ORD91683</t>
  </si>
  <si>
    <t>Printer Paper</t>
  </si>
  <si>
    <t>Net Banking</t>
  </si>
  <si>
    <t>ORD99391</t>
  </si>
  <si>
    <t>Water Purifier</t>
  </si>
  <si>
    <t>ORD54035</t>
  </si>
  <si>
    <t>ORD64638</t>
  </si>
  <si>
    <t>Smart Watch</t>
  </si>
  <si>
    <t>ORD75400</t>
  </si>
  <si>
    <t>ORD28779</t>
  </si>
  <si>
    <t>ORD66755</t>
  </si>
  <si>
    <t>ORD68525</t>
  </si>
  <si>
    <t>Office Chair</t>
  </si>
  <si>
    <t>ORD42141</t>
  </si>
  <si>
    <t>ORD99264</t>
  </si>
  <si>
    <t>ORD53389</t>
  </si>
  <si>
    <t>ORD76515</t>
  </si>
  <si>
    <t>ORD55212</t>
  </si>
  <si>
    <t>ORD45031</t>
  </si>
  <si>
    <t>ORD26963</t>
  </si>
  <si>
    <t>ORD50891</t>
  </si>
  <si>
    <t>Boat Headphones</t>
  </si>
  <si>
    <t>ORD99075</t>
  </si>
  <si>
    <t>ORD59025</t>
  </si>
  <si>
    <t>ORD63882</t>
  </si>
  <si>
    <t>ORD63858</t>
  </si>
  <si>
    <t>ORD26835</t>
  </si>
  <si>
    <t>ORD77924</t>
  </si>
  <si>
    <t>ORD14067</t>
  </si>
  <si>
    <t>ORD51142</t>
  </si>
  <si>
    <t>ORD25793</t>
  </si>
  <si>
    <t>ORD22695</t>
  </si>
  <si>
    <t>ORD41424</t>
  </si>
  <si>
    <t>ORD96827</t>
  </si>
  <si>
    <t>ORD99420</t>
  </si>
  <si>
    <t>ORD43265</t>
  </si>
  <si>
    <t>ORD78309</t>
  </si>
  <si>
    <t>ORD91457</t>
  </si>
  <si>
    <t>LED Desk Lamp</t>
  </si>
  <si>
    <t>ORD55598</t>
  </si>
  <si>
    <t>ORD48387</t>
  </si>
  <si>
    <t>ORD79749</t>
  </si>
  <si>
    <t>ORD26856</t>
  </si>
  <si>
    <t>ORD45077</t>
  </si>
  <si>
    <t>ORD15280</t>
  </si>
  <si>
    <t>ORD24753</t>
  </si>
  <si>
    <t>ORD33341</t>
  </si>
  <si>
    <t>ORD49136</t>
  </si>
  <si>
    <t>ORD49033</t>
  </si>
  <si>
    <t>ORD34568</t>
  </si>
  <si>
    <t>ORD27370</t>
  </si>
  <si>
    <t>ORD49622</t>
  </si>
  <si>
    <t>ORD52784</t>
  </si>
  <si>
    <t>ORD39480</t>
  </si>
  <si>
    <t>ORD70536</t>
  </si>
  <si>
    <t>ORD52038</t>
  </si>
  <si>
    <t>ORD16441</t>
  </si>
  <si>
    <t>ORD29413</t>
  </si>
  <si>
    <t>ORD64433</t>
  </si>
  <si>
    <t>ORD33561</t>
  </si>
  <si>
    <t>ORD28006</t>
  </si>
  <si>
    <t>ORD99187</t>
  </si>
  <si>
    <t>ORD56775</t>
  </si>
  <si>
    <t>ORD97746</t>
  </si>
  <si>
    <t>ORD97416</t>
  </si>
  <si>
    <t>ORD54587</t>
  </si>
  <si>
    <t>ORD39468</t>
  </si>
  <si>
    <t>ORD97848</t>
  </si>
  <si>
    <t>ORD50082</t>
  </si>
  <si>
    <t>ORD58336</t>
  </si>
  <si>
    <t>ORD88402</t>
  </si>
  <si>
    <t>ORD97469</t>
  </si>
  <si>
    <t>ORD47891</t>
  </si>
  <si>
    <t>ORD28934</t>
  </si>
  <si>
    <t>ORD18740</t>
  </si>
  <si>
    <t>ORD24349</t>
  </si>
  <si>
    <t>ORD80049</t>
  </si>
  <si>
    <t>ORD78263</t>
  </si>
  <si>
    <t>ORD71454</t>
  </si>
  <si>
    <t>ORD27071</t>
  </si>
  <si>
    <t>ORD23649</t>
  </si>
  <si>
    <t>ORD39567</t>
  </si>
  <si>
    <t>ORD61295</t>
  </si>
  <si>
    <t>ORD49914</t>
  </si>
  <si>
    <t>ORD63062</t>
  </si>
  <si>
    <t>ORD14300</t>
  </si>
  <si>
    <t>ORD62095</t>
  </si>
  <si>
    <t>ORD18261</t>
  </si>
  <si>
    <t>electronics</t>
  </si>
  <si>
    <t>ORD11617</t>
  </si>
  <si>
    <t>ORD21323</t>
  </si>
  <si>
    <t>ORD16830</t>
  </si>
  <si>
    <t>ORD15984</t>
  </si>
  <si>
    <t>stationery</t>
  </si>
  <si>
    <t>ORD24674</t>
  </si>
  <si>
    <t>ORD28121</t>
  </si>
  <si>
    <t>ORD93804</t>
  </si>
  <si>
    <t>ORD91636</t>
  </si>
  <si>
    <t>ORD81962</t>
  </si>
  <si>
    <t>ORD26498</t>
  </si>
  <si>
    <t>ORD53981</t>
  </si>
  <si>
    <t>ORD31922</t>
  </si>
  <si>
    <t>ORD10215</t>
  </si>
  <si>
    <t>ORD85596</t>
  </si>
  <si>
    <t>ORD26096</t>
  </si>
  <si>
    <t>ORD50395</t>
  </si>
  <si>
    <t>ORD64485</t>
  </si>
  <si>
    <t>ORD25289</t>
  </si>
  <si>
    <t>ORD54222</t>
  </si>
  <si>
    <t>ORD42076</t>
  </si>
  <si>
    <t>ORD87679</t>
  </si>
  <si>
    <t>ORD25051</t>
  </si>
  <si>
    <t>ORD40552</t>
  </si>
  <si>
    <t>ORD59273</t>
  </si>
  <si>
    <t>ORD51653</t>
  </si>
  <si>
    <t>ORD62046</t>
  </si>
  <si>
    <t>ORD96518</t>
  </si>
  <si>
    <t>ORD55634</t>
  </si>
  <si>
    <t>ORD63545</t>
  </si>
  <si>
    <t>ORD36719</t>
  </si>
  <si>
    <t>ORD96651</t>
  </si>
  <si>
    <t>ORD96714</t>
  </si>
  <si>
    <t>ORD49841</t>
  </si>
  <si>
    <t>ORD70552</t>
  </si>
  <si>
    <t>ORD25349</t>
  </si>
  <si>
    <t>ORD27844</t>
  </si>
  <si>
    <t>ORD85290</t>
  </si>
  <si>
    <t>ORD69389</t>
  </si>
  <si>
    <t>ORD36031</t>
  </si>
  <si>
    <t>ORD21642</t>
  </si>
  <si>
    <t>ORD47011</t>
  </si>
  <si>
    <t>ORD57619</t>
  </si>
  <si>
    <t>ORD98195</t>
  </si>
  <si>
    <t>ORD43520</t>
  </si>
  <si>
    <t>ORD61468</t>
  </si>
  <si>
    <t>ORD27861</t>
  </si>
  <si>
    <t>ORD55755</t>
  </si>
  <si>
    <t>ORD65659</t>
  </si>
  <si>
    <t>ORD26439</t>
  </si>
  <si>
    <t>ORD82387</t>
  </si>
  <si>
    <t>ORD51590</t>
  </si>
  <si>
    <t>ORD95983</t>
  </si>
  <si>
    <t>ORD79372</t>
  </si>
  <si>
    <t>ORD97714</t>
  </si>
  <si>
    <t>ORD71505</t>
  </si>
  <si>
    <t>ORD55769</t>
  </si>
  <si>
    <t>ORD92675</t>
  </si>
  <si>
    <t>ORD24090</t>
  </si>
  <si>
    <t>ORD56522</t>
  </si>
  <si>
    <t>ORD65532</t>
  </si>
  <si>
    <t>ORD22714</t>
  </si>
  <si>
    <t>ORD84849</t>
  </si>
  <si>
    <t>ORD42280</t>
  </si>
  <si>
    <t>ORD28301</t>
  </si>
  <si>
    <t>ORD54289</t>
  </si>
  <si>
    <t>ORD72423</t>
  </si>
  <si>
    <t>ORD35017</t>
  </si>
  <si>
    <t>ORD35906</t>
  </si>
  <si>
    <t>ORD55966</t>
  </si>
  <si>
    <t>ORD27329</t>
  </si>
  <si>
    <t>ORD98342</t>
  </si>
  <si>
    <t>ORD73411</t>
  </si>
  <si>
    <t>ORD16570</t>
  </si>
  <si>
    <t>ORD72297</t>
  </si>
  <si>
    <t>ORD27899</t>
  </si>
  <si>
    <t>ORD92104</t>
  </si>
  <si>
    <t>ORD57901</t>
  </si>
  <si>
    <t>ORD62184</t>
  </si>
  <si>
    <t>ORD78735</t>
  </si>
  <si>
    <t>ORD41497</t>
  </si>
  <si>
    <t>ORD64247</t>
  </si>
  <si>
    <t>ORD56563</t>
  </si>
  <si>
    <t>ORD95900</t>
  </si>
  <si>
    <t>ORD29109</t>
  </si>
  <si>
    <t>ORD47624</t>
  </si>
  <si>
    <t>ORD65314</t>
  </si>
  <si>
    <t>ORD36254</t>
  </si>
  <si>
    <t>ORD49985</t>
  </si>
  <si>
    <t>ORD35926</t>
  </si>
  <si>
    <t>ORD31543</t>
  </si>
  <si>
    <t>ORD88283</t>
  </si>
  <si>
    <t>ORD77002</t>
  </si>
  <si>
    <t>ORD84873</t>
  </si>
  <si>
    <t>ORD47012</t>
  </si>
  <si>
    <t>ORD49698</t>
  </si>
  <si>
    <t>ORD95860</t>
  </si>
  <si>
    <t>ORD51276</t>
  </si>
  <si>
    <t>ORD15299</t>
  </si>
  <si>
    <t>ORD41797</t>
  </si>
  <si>
    <t>ORD10212</t>
  </si>
  <si>
    <t>ORD46381</t>
  </si>
  <si>
    <t>ORD79699</t>
  </si>
  <si>
    <t>ORD56636</t>
  </si>
  <si>
    <t>ORD80002</t>
  </si>
  <si>
    <t>ORD71869</t>
  </si>
  <si>
    <t>ORD42768</t>
  </si>
  <si>
    <t>ORD39975</t>
  </si>
  <si>
    <t>ORD13361</t>
  </si>
  <si>
    <t>ORD67792</t>
  </si>
  <si>
    <t>ORD92598</t>
  </si>
  <si>
    <t>ORD73372</t>
  </si>
  <si>
    <t>ORD44392</t>
  </si>
  <si>
    <t>ORD27960</t>
  </si>
  <si>
    <t>ORD62481</t>
  </si>
  <si>
    <t>ORD65947</t>
  </si>
  <si>
    <t>ORD91365</t>
  </si>
  <si>
    <t>ORD66476</t>
  </si>
  <si>
    <t>ORD29161</t>
  </si>
  <si>
    <t>ORD80465</t>
  </si>
  <si>
    <t>ORD42180</t>
  </si>
  <si>
    <t>ORD15112</t>
  </si>
  <si>
    <t>ORD29943</t>
  </si>
  <si>
    <t>ORD94774</t>
  </si>
  <si>
    <t>ORD51224</t>
  </si>
  <si>
    <t>ORD36038</t>
  </si>
  <si>
    <t>ORD12100</t>
  </si>
  <si>
    <t>ORD71409</t>
  </si>
  <si>
    <t>ORD62802</t>
  </si>
  <si>
    <t>ORD55423</t>
  </si>
  <si>
    <t>ORD78254</t>
  </si>
  <si>
    <t>ORD16551</t>
  </si>
  <si>
    <t>ORD21037</t>
  </si>
  <si>
    <t>ORD47608</t>
  </si>
  <si>
    <t>ORD34937</t>
  </si>
  <si>
    <t>ORD44094</t>
  </si>
  <si>
    <t>ORD54842</t>
  </si>
  <si>
    <t>ORD37082</t>
  </si>
  <si>
    <t>ORD17603</t>
  </si>
  <si>
    <t>ORD31565</t>
  </si>
  <si>
    <t>ORD22396</t>
  </si>
  <si>
    <t>ORD90598</t>
  </si>
  <si>
    <t>ORD64340</t>
  </si>
  <si>
    <t>ORD76149</t>
  </si>
  <si>
    <t>ORD53647</t>
  </si>
  <si>
    <t>ORD41028</t>
  </si>
  <si>
    <t>ORD69690</t>
  </si>
  <si>
    <t>ORD87448</t>
  </si>
  <si>
    <t>ORD68060</t>
  </si>
  <si>
    <t>ORD90297</t>
  </si>
  <si>
    <t>ORD74440</t>
  </si>
  <si>
    <t>ORD43454</t>
  </si>
  <si>
    <t>ORD56440</t>
  </si>
  <si>
    <t>ORD55831</t>
  </si>
  <si>
    <t>ORD73183</t>
  </si>
  <si>
    <t>ORD87899</t>
  </si>
  <si>
    <t>ORD92446</t>
  </si>
  <si>
    <t>ORD47169</t>
  </si>
  <si>
    <t>ORD49794</t>
  </si>
  <si>
    <t>home decor</t>
  </si>
  <si>
    <t>ORD56202</t>
  </si>
  <si>
    <t>ORD51923</t>
  </si>
  <si>
    <t>ORD80181</t>
  </si>
  <si>
    <t>ORD91030</t>
  </si>
  <si>
    <t>ORD61155</t>
  </si>
  <si>
    <t>ORD11609</t>
  </si>
  <si>
    <t>ORD55714</t>
  </si>
  <si>
    <t>ORD93900</t>
  </si>
  <si>
    <t>ORD22926</t>
  </si>
  <si>
    <t>ORD90251</t>
  </si>
  <si>
    <t>ORD24457</t>
  </si>
  <si>
    <t>ORD55853</t>
  </si>
  <si>
    <t>ORD20938</t>
  </si>
  <si>
    <t>ORD89122</t>
  </si>
  <si>
    <t>ORD26215</t>
  </si>
  <si>
    <t>ORD19164</t>
  </si>
  <si>
    <t>ORD27684</t>
  </si>
  <si>
    <t>ORD94140</t>
  </si>
  <si>
    <t>ORD35859</t>
  </si>
  <si>
    <t>ORD71303</t>
  </si>
  <si>
    <t>ORD61036</t>
  </si>
  <si>
    <t>ORD53217</t>
  </si>
  <si>
    <t>ORD13596</t>
  </si>
  <si>
    <t>ORD30270</t>
  </si>
  <si>
    <t>ORD49936</t>
  </si>
  <si>
    <t>ORD72731</t>
  </si>
  <si>
    <t>01/03/2025</t>
  </si>
  <si>
    <t>Jan 3, 2025</t>
  </si>
  <si>
    <t>oRD62802</t>
  </si>
  <si>
    <t>04.01.2025</t>
  </si>
  <si>
    <t>bluetooth Speaker</t>
  </si>
  <si>
    <t>sOUTH</t>
  </si>
  <si>
    <t>delivered</t>
  </si>
  <si>
    <t>net Banking</t>
  </si>
  <si>
    <t>2025/01/05</t>
  </si>
  <si>
    <t>ord28301</t>
  </si>
  <si>
    <t>water purifier</t>
  </si>
  <si>
    <t>appliances</t>
  </si>
  <si>
    <t>north</t>
  </si>
  <si>
    <t>shipped</t>
  </si>
  <si>
    <t>Jan 9, 2025</t>
  </si>
  <si>
    <t xml:space="preserve">  ORD35926</t>
  </si>
  <si>
    <t>01/16/2025</t>
  </si>
  <si>
    <t xml:space="preserve">  Mixer Grinder</t>
  </si>
  <si>
    <t xml:space="preserve">  Appliances</t>
  </si>
  <si>
    <t xml:space="preserve">  north</t>
  </si>
  <si>
    <t xml:space="preserve">  Shipped</t>
  </si>
  <si>
    <t xml:space="preserve">  UPI</t>
  </si>
  <si>
    <t>oRD30270</t>
  </si>
  <si>
    <t>16.01.2025</t>
  </si>
  <si>
    <t>samsung Galaxy M14</t>
  </si>
  <si>
    <t>east</t>
  </si>
  <si>
    <t>PRINTER PAPER</t>
  </si>
  <si>
    <t>STATIONERY</t>
  </si>
  <si>
    <t>SHIPPED</t>
  </si>
  <si>
    <t>DEBIT CARD</t>
  </si>
  <si>
    <t>2025/01/18</t>
  </si>
  <si>
    <t>5000</t>
  </si>
  <si>
    <t xml:space="preserve">ORD43265  </t>
  </si>
  <si>
    <t xml:space="preserve">Cotton T-Shirt  </t>
  </si>
  <si>
    <t xml:space="preserve">Fashion  </t>
  </si>
  <si>
    <t xml:space="preserve">Central  </t>
  </si>
  <si>
    <t xml:space="preserve">Returned  </t>
  </si>
  <si>
    <t xml:space="preserve">Debit Card  </t>
  </si>
  <si>
    <t>ord99264</t>
  </si>
  <si>
    <t>samsung galaxy m14</t>
  </si>
  <si>
    <t>central</t>
  </si>
  <si>
    <t>Rs. 10,800</t>
  </si>
  <si>
    <t>upi</t>
  </si>
  <si>
    <t>oRD16441</t>
  </si>
  <si>
    <t>22.01.2025</t>
  </si>
  <si>
    <t>coffee Mug</t>
  </si>
  <si>
    <t>home Decor</t>
  </si>
  <si>
    <t>249</t>
  </si>
  <si>
    <t>debit Card</t>
  </si>
  <si>
    <t>Jan 23, 2025</t>
  </si>
  <si>
    <t>3</t>
  </si>
  <si>
    <t>Rs. 7,099</t>
  </si>
  <si>
    <t xml:space="preserve">  ORD28779</t>
  </si>
  <si>
    <t>2025/01/26</t>
  </si>
  <si>
    <t xml:space="preserve">  Bluetooth Speaker</t>
  </si>
  <si>
    <t xml:space="preserve">  Electronics</t>
  </si>
  <si>
    <t xml:space="preserve">  North</t>
  </si>
  <si>
    <t>1,800</t>
  </si>
  <si>
    <t xml:space="preserve">  Cancelled</t>
  </si>
  <si>
    <t xml:space="preserve">  Credit Card</t>
  </si>
  <si>
    <t>oRD50395</t>
  </si>
  <si>
    <t>27.01.2025</t>
  </si>
  <si>
    <t>redmi Note 13</t>
  </si>
  <si>
    <t>ord15112</t>
  </si>
  <si>
    <t>01/30/2025</t>
  </si>
  <si>
    <t>study table</t>
  </si>
  <si>
    <t>furniture</t>
  </si>
  <si>
    <t>6,899</t>
  </si>
  <si>
    <t>returned</t>
  </si>
  <si>
    <t>COTTON T-SHIRT</t>
  </si>
  <si>
    <t>FASHION</t>
  </si>
  <si>
    <t>PROCESSING</t>
  </si>
  <si>
    <t>2025/02/04</t>
  </si>
  <si>
    <t>oRD55831</t>
  </si>
  <si>
    <t>04.02.2025</t>
  </si>
  <si>
    <t>smart Watch</t>
  </si>
  <si>
    <t>west</t>
  </si>
  <si>
    <t>credit Card</t>
  </si>
  <si>
    <t xml:space="preserve">ORD84416  </t>
  </si>
  <si>
    <t xml:space="preserve">Mixer Grinder  </t>
  </si>
  <si>
    <t xml:space="preserve">Appliances  </t>
  </si>
  <si>
    <t xml:space="preserve">north  </t>
  </si>
  <si>
    <t xml:space="preserve">Delivered  </t>
  </si>
  <si>
    <t xml:space="preserve">credit card  </t>
  </si>
  <si>
    <t xml:space="preserve">  ORD96518</t>
  </si>
  <si>
    <t>02/07/2025</t>
  </si>
  <si>
    <t xml:space="preserve">  Water Purifier</t>
  </si>
  <si>
    <t xml:space="preserve">  South</t>
  </si>
  <si>
    <t xml:space="preserve">  Delivered</t>
  </si>
  <si>
    <t>ord57901</t>
  </si>
  <si>
    <t>Feb 7, 2025</t>
  </si>
  <si>
    <t>led desk lamp</t>
  </si>
  <si>
    <t>cancelled</t>
  </si>
  <si>
    <t>net banking</t>
  </si>
  <si>
    <t>350</t>
  </si>
  <si>
    <t>oRD47012</t>
  </si>
  <si>
    <t>2025/02/08</t>
  </si>
  <si>
    <t>Feb 10, 2025</t>
  </si>
  <si>
    <t>3199</t>
  </si>
  <si>
    <t>02/11/2025</t>
  </si>
  <si>
    <t>WATER PURIFIER</t>
  </si>
  <si>
    <t>APPLIANCES</t>
  </si>
  <si>
    <t>NORTH</t>
  </si>
  <si>
    <t>Rs. 7,000</t>
  </si>
  <si>
    <t>2</t>
  </si>
  <si>
    <t>ord93900</t>
  </si>
  <si>
    <t>14.02.2025</t>
  </si>
  <si>
    <t>printer paper</t>
  </si>
  <si>
    <t>south</t>
  </si>
  <si>
    <t>2025/02/15</t>
  </si>
  <si>
    <t xml:space="preserve">  Coffee Mug</t>
  </si>
  <si>
    <t xml:space="preserve">  Home Decor</t>
  </si>
  <si>
    <t xml:space="preserve">  Central</t>
  </si>
  <si>
    <t>Rs. 149</t>
  </si>
  <si>
    <t xml:space="preserve">ORD76470  </t>
  </si>
  <si>
    <t>02/18/2025</t>
  </si>
  <si>
    <t xml:space="preserve">Redmi Note 13  </t>
  </si>
  <si>
    <t xml:space="preserve">Electronics  </t>
  </si>
  <si>
    <t xml:space="preserve">Credit Card  </t>
  </si>
  <si>
    <t>oRD22795</t>
  </si>
  <si>
    <t>18.02.2025</t>
  </si>
  <si>
    <t>notebook Pack</t>
  </si>
  <si>
    <t>2,400</t>
  </si>
  <si>
    <t>ord88402</t>
  </si>
  <si>
    <t>2025/02/20</t>
  </si>
  <si>
    <t>running shoes</t>
  </si>
  <si>
    <t>fashion</t>
  </si>
  <si>
    <t>Feb 24, 2025</t>
  </si>
  <si>
    <t>SAMSUNG GALAXY M14</t>
  </si>
  <si>
    <t>ELECTRONICS</t>
  </si>
  <si>
    <t>12,999</t>
  </si>
  <si>
    <t xml:space="preserve">  oRD63545</t>
  </si>
  <si>
    <t>26.02.2025</t>
  </si>
  <si>
    <t xml:space="preserve">  water Purifier</t>
  </si>
  <si>
    <t xml:space="preserve">  appliances</t>
  </si>
  <si>
    <t xml:space="preserve">  east</t>
  </si>
  <si>
    <t xml:space="preserve">  shipped</t>
  </si>
  <si>
    <t xml:space="preserve">  credit card</t>
  </si>
  <si>
    <t>2025/03/10</t>
  </si>
  <si>
    <t>ord41424</t>
  </si>
  <si>
    <t>8899</t>
  </si>
  <si>
    <t>oRD69690</t>
  </si>
  <si>
    <t>13.03.2025</t>
  </si>
  <si>
    <t>boat Headphones</t>
  </si>
  <si>
    <t>03/14/2025</t>
  </si>
  <si>
    <t xml:space="preserve">ORD52784  </t>
  </si>
  <si>
    <t>Mar 15, 2025</t>
  </si>
  <si>
    <t xml:space="preserve">Study Table  </t>
  </si>
  <si>
    <t xml:space="preserve">Furniture  </t>
  </si>
  <si>
    <t>Rs. 5,000</t>
  </si>
  <si>
    <t xml:space="preserve">upi  </t>
  </si>
  <si>
    <t xml:space="preserve">  ORD49698</t>
  </si>
  <si>
    <t>2025/03/17</t>
  </si>
  <si>
    <t xml:space="preserve">  East</t>
  </si>
  <si>
    <t xml:space="preserve">  Cash</t>
  </si>
  <si>
    <t>18.03.2025</t>
  </si>
  <si>
    <t>COFFEE MUG</t>
  </si>
  <si>
    <t>HOME DECOR</t>
  </si>
  <si>
    <t>Rs. 249</t>
  </si>
  <si>
    <t>CREDIT CARD</t>
  </si>
  <si>
    <t>ord76515</t>
  </si>
  <si>
    <t>Mar 19, 2025</t>
  </si>
  <si>
    <t>office chair</t>
  </si>
  <si>
    <t>cash</t>
  </si>
  <si>
    <t>03/20/2025</t>
  </si>
  <si>
    <t>2025/03/22</t>
  </si>
  <si>
    <t>Coton T-Shirt</t>
  </si>
  <si>
    <t xml:space="preserve">  ord93804</t>
  </si>
  <si>
    <t>03/26/2025</t>
  </si>
  <si>
    <t xml:space="preserve">  led desk lamp</t>
  </si>
  <si>
    <t xml:space="preserve">  home decor</t>
  </si>
  <si>
    <t>500</t>
  </si>
  <si>
    <t xml:space="preserve">  delivered</t>
  </si>
  <si>
    <t xml:space="preserve">  net banking</t>
  </si>
  <si>
    <t>Mar 26, 2025</t>
  </si>
  <si>
    <t>90</t>
  </si>
  <si>
    <t xml:space="preserve">oRD61295  </t>
  </si>
  <si>
    <t>28.03.2025</t>
  </si>
  <si>
    <t xml:space="preserve">water Purifier  </t>
  </si>
  <si>
    <t xml:space="preserve">appliances  </t>
  </si>
  <si>
    <t xml:space="preserve">returned  </t>
  </si>
  <si>
    <t xml:space="preserve">net Banking  </t>
  </si>
  <si>
    <t>2025/03/28</t>
  </si>
  <si>
    <t>OFFICE CHAIR</t>
  </si>
  <si>
    <t>FURNITURE</t>
  </si>
  <si>
    <t>5399</t>
  </si>
  <si>
    <t>299</t>
  </si>
  <si>
    <t>Apr 2, 2025</t>
  </si>
  <si>
    <t>8</t>
  </si>
  <si>
    <t>04/02/2025</t>
  </si>
  <si>
    <t>ord88283</t>
  </si>
  <si>
    <t>05.04.2025</t>
  </si>
  <si>
    <t>Rs. 1,200</t>
  </si>
  <si>
    <t>2025/04/06</t>
  </si>
  <si>
    <t xml:space="preserve">  Notebook Pack</t>
  </si>
  <si>
    <t xml:space="preserve">  Stationery</t>
  </si>
  <si>
    <t>Rs. 3,599</t>
  </si>
  <si>
    <t>oRD24753</t>
  </si>
  <si>
    <t>10.04.2025</t>
  </si>
  <si>
    <t>Apr 10, 2025</t>
  </si>
  <si>
    <t>RETURNED</t>
  </si>
  <si>
    <t xml:space="preserve">ORD24674  </t>
  </si>
  <si>
    <t>2025/04/11</t>
  </si>
  <si>
    <t xml:space="preserve">Office Chair  </t>
  </si>
  <si>
    <t xml:space="preserve">North  </t>
  </si>
  <si>
    <t xml:space="preserve">Net Banking  </t>
  </si>
  <si>
    <t>oRD97416</t>
  </si>
  <si>
    <t>13.04.2025</t>
  </si>
  <si>
    <t>1200</t>
  </si>
  <si>
    <t xml:space="preserve">  ORD63858</t>
  </si>
  <si>
    <t>04/14/2025</t>
  </si>
  <si>
    <t xml:space="preserve">  Cotton T-Shirt</t>
  </si>
  <si>
    <t xml:space="preserve">  Fashion</t>
  </si>
  <si>
    <t>899</t>
  </si>
  <si>
    <t>2025/04/16</t>
  </si>
  <si>
    <t>oRD49794</t>
  </si>
  <si>
    <t>18.04.2025</t>
  </si>
  <si>
    <t>10</t>
  </si>
  <si>
    <t>04/23/2025</t>
  </si>
  <si>
    <t>3,800</t>
  </si>
  <si>
    <t>Apr 23, 2025</t>
  </si>
  <si>
    <t>SMART WATCH</t>
  </si>
  <si>
    <t>WEST</t>
  </si>
  <si>
    <t>DELIVERED</t>
  </si>
  <si>
    <t>CASH</t>
  </si>
  <si>
    <t xml:space="preserve">  oRD51923</t>
  </si>
  <si>
    <t>2025/04/24</t>
  </si>
  <si>
    <t xml:space="preserve">  office Chair</t>
  </si>
  <si>
    <t xml:space="preserve">  furniture</t>
  </si>
  <si>
    <t>5,299</t>
  </si>
  <si>
    <t>Rs. 3,800</t>
  </si>
  <si>
    <t xml:space="preserve">  cash</t>
  </si>
  <si>
    <t xml:space="preserve">ord41797  </t>
  </si>
  <si>
    <t xml:space="preserve">office chair  </t>
  </si>
  <si>
    <t xml:space="preserve">furniture  </t>
  </si>
  <si>
    <t xml:space="preserve">central  </t>
  </si>
  <si>
    <t xml:space="preserve">delivered  </t>
  </si>
  <si>
    <t xml:space="preserve">cash  </t>
  </si>
  <si>
    <t>Apr 25, 2025</t>
  </si>
  <si>
    <t>04/29/2025</t>
  </si>
  <si>
    <t>Rs. 12,799</t>
  </si>
  <si>
    <t>oRD31543</t>
  </si>
  <si>
    <t>30.04.2025</t>
  </si>
  <si>
    <t>running Shoes</t>
  </si>
  <si>
    <t>2025/05/01</t>
  </si>
  <si>
    <t>3800</t>
  </si>
  <si>
    <t>ord70536</t>
  </si>
  <si>
    <t>smart watch</t>
  </si>
  <si>
    <t xml:space="preserve">  ORD42180</t>
  </si>
  <si>
    <t>05/04/2025</t>
  </si>
  <si>
    <t xml:space="preserve">  RUNNING SHOES</t>
  </si>
  <si>
    <t xml:space="preserve">  FASHION</t>
  </si>
  <si>
    <t xml:space="preserve">  NORTH</t>
  </si>
  <si>
    <t xml:space="preserve">  DELIVERED</t>
  </si>
  <si>
    <t xml:space="preserve">  DEBIT CARD</t>
  </si>
  <si>
    <t>oRD64340</t>
  </si>
  <si>
    <t>04.05.2025</t>
  </si>
  <si>
    <t>399</t>
  </si>
  <si>
    <t>2025/05/05</t>
  </si>
  <si>
    <t xml:space="preserve">ORD25793  </t>
  </si>
  <si>
    <t>May 7, 2025</t>
  </si>
  <si>
    <t xml:space="preserve">Water Purifier  </t>
  </si>
  <si>
    <t xml:space="preserve">West  </t>
  </si>
  <si>
    <t>ord22396</t>
  </si>
  <si>
    <t>08.05.2025</t>
  </si>
  <si>
    <t>processing</t>
  </si>
  <si>
    <t>2025/05/10</t>
  </si>
  <si>
    <t xml:space="preserve">  Office Chair</t>
  </si>
  <si>
    <t xml:space="preserve">  Furniture</t>
  </si>
  <si>
    <t xml:space="preserve">  West</t>
  </si>
  <si>
    <t xml:space="preserve">  Processing</t>
  </si>
  <si>
    <t>Rs. 2,500</t>
  </si>
  <si>
    <t>14.05.2025</t>
  </si>
  <si>
    <t>05/15/2025</t>
  </si>
  <si>
    <t>ord77002</t>
  </si>
  <si>
    <t>May 16, 2025</t>
  </si>
  <si>
    <t>Rs. 2,599</t>
  </si>
  <si>
    <t>debit card</t>
  </si>
  <si>
    <t>599</t>
  </si>
  <si>
    <t>2025/05/19</t>
  </si>
  <si>
    <t>oRD51276</t>
  </si>
  <si>
    <t>19.05.2025</t>
  </si>
  <si>
    <t>office Chair</t>
  </si>
  <si>
    <t>May 20, 2025</t>
  </si>
  <si>
    <t xml:space="preserve">  ORD96714  </t>
  </si>
  <si>
    <t>05/20/2025</t>
  </si>
  <si>
    <t xml:space="preserve">  LED Desk Lamp  </t>
  </si>
  <si>
    <t xml:space="preserve">  Home Decor  </t>
  </si>
  <si>
    <t xml:space="preserve">  north  </t>
  </si>
  <si>
    <t>1099</t>
  </si>
  <si>
    <t xml:space="preserve">  Delivered  </t>
  </si>
  <si>
    <t xml:space="preserve">  Credit Card  </t>
  </si>
  <si>
    <t>ord99391</t>
  </si>
  <si>
    <t>2025/05/23</t>
  </si>
  <si>
    <t>LED DESK LAMP</t>
  </si>
  <si>
    <t>EAST</t>
  </si>
  <si>
    <t>05/26/2025</t>
  </si>
  <si>
    <t>May 26, 2025</t>
  </si>
  <si>
    <t>oRD80465</t>
  </si>
  <si>
    <t>27.05.2025</t>
  </si>
  <si>
    <t xml:space="preserve">  ord19164</t>
  </si>
  <si>
    <t>2025/05/28</t>
  </si>
  <si>
    <t xml:space="preserve">  boat headphones</t>
  </si>
  <si>
    <t xml:space="preserve">  electronics</t>
  </si>
  <si>
    <t xml:space="preserve">  south</t>
  </si>
  <si>
    <t xml:space="preserve">  processing</t>
  </si>
  <si>
    <t>Jun 2, 2025</t>
  </si>
  <si>
    <t>Rs. 350</t>
  </si>
  <si>
    <t>06/03/2025</t>
  </si>
  <si>
    <t xml:space="preserve">oRD66755  </t>
  </si>
  <si>
    <t>06.06.2025</t>
  </si>
  <si>
    <t xml:space="preserve">west  </t>
  </si>
  <si>
    <t>Rs. 5,299</t>
  </si>
  <si>
    <t>2025/06/07</t>
  </si>
  <si>
    <t>NOTEBOOK PACK</t>
  </si>
  <si>
    <t>ord65659</t>
  </si>
  <si>
    <t>coffee mug</t>
  </si>
  <si>
    <t>9199</t>
  </si>
  <si>
    <t xml:space="preserve">  oRD35017</t>
  </si>
  <si>
    <t>09.06.2025</t>
  </si>
  <si>
    <t xml:space="preserve">  mixer Grinder</t>
  </si>
  <si>
    <t>Jun 10, 2025</t>
  </si>
  <si>
    <t>4</t>
  </si>
  <si>
    <t>16,199</t>
  </si>
  <si>
    <t>2025/06/12</t>
  </si>
  <si>
    <t>ord87448</t>
  </si>
  <si>
    <t>15.06.2025</t>
  </si>
  <si>
    <t>cotton t-shirt</t>
  </si>
  <si>
    <t>06/17/2025</t>
  </si>
  <si>
    <t xml:space="preserve">ORD24090  </t>
  </si>
  <si>
    <t xml:space="preserve">SAMSUNG GALAXY M14  </t>
  </si>
  <si>
    <t xml:space="preserve">ELECTRONICS  </t>
  </si>
  <si>
    <t xml:space="preserve">NORTH  </t>
  </si>
  <si>
    <t xml:space="preserve">RETURNED  </t>
  </si>
  <si>
    <t xml:space="preserve">CREDIT CARD  </t>
  </si>
  <si>
    <t>2025/06/23</t>
  </si>
  <si>
    <t xml:space="preserve">  Net Banking</t>
  </si>
  <si>
    <t>oRD42141</t>
  </si>
  <si>
    <t>24.06.2025</t>
  </si>
  <si>
    <t>printer Paper</t>
  </si>
  <si>
    <t>ord37082</t>
  </si>
  <si>
    <t>06/28/2025</t>
  </si>
  <si>
    <t>Jun 30, 2025</t>
  </si>
  <si>
    <t>oRD13361</t>
  </si>
  <si>
    <t>2025/07/05</t>
  </si>
  <si>
    <t>Rs. 1,799</t>
  </si>
  <si>
    <t>Jul 11, 2025</t>
  </si>
  <si>
    <t xml:space="preserve">  ORD53647</t>
  </si>
  <si>
    <t>07/11/2025</t>
  </si>
  <si>
    <t>5</t>
  </si>
  <si>
    <t>MIXER GRINDER</t>
  </si>
  <si>
    <t>CANCELLED</t>
  </si>
  <si>
    <t>oRD22695</t>
  </si>
  <si>
    <t>20.07.2025</t>
  </si>
  <si>
    <t>2025/07/20</t>
  </si>
  <si>
    <t xml:space="preserve">Bluetooth Speaker  </t>
  </si>
  <si>
    <t xml:space="preserve">UPI  </t>
  </si>
  <si>
    <t>07/25/2025</t>
  </si>
  <si>
    <t>12,799</t>
  </si>
  <si>
    <t>oRD51653</t>
  </si>
  <si>
    <t>27.07.2025</t>
  </si>
  <si>
    <t>water Purifier</t>
  </si>
  <si>
    <t>ord21037</t>
  </si>
  <si>
    <t xml:space="preserve">  ORD21642</t>
  </si>
  <si>
    <t>2025/07/28</t>
  </si>
  <si>
    <t xml:space="preserve">  Smart Watch</t>
  </si>
  <si>
    <t>Jul 30, 2025</t>
  </si>
  <si>
    <t>01.08.2025</t>
  </si>
  <si>
    <t>REDMI NOTE 13</t>
  </si>
  <si>
    <t>13500</t>
  </si>
  <si>
    <t>Rs. 1,800</t>
  </si>
  <si>
    <t>2025/08/04</t>
  </si>
  <si>
    <t>199</t>
  </si>
  <si>
    <t xml:space="preserve">ORD26096  </t>
  </si>
  <si>
    <t xml:space="preserve">Coffee Mug  </t>
  </si>
  <si>
    <t xml:space="preserve">Home Decor  </t>
  </si>
  <si>
    <t>Rs. 449</t>
  </si>
  <si>
    <t>oRD67792</t>
  </si>
  <si>
    <t>07.08.2025</t>
  </si>
  <si>
    <t>6</t>
  </si>
  <si>
    <t xml:space="preserve">  ORD27861</t>
  </si>
  <si>
    <t>08/08/2025</t>
  </si>
  <si>
    <t xml:space="preserve">  Study Table</t>
  </si>
  <si>
    <t>Aug 9, 2025</t>
  </si>
  <si>
    <t>2025/08/11</t>
  </si>
  <si>
    <t>ord78263</t>
  </si>
  <si>
    <t>12.08.2025</t>
  </si>
  <si>
    <t>Aug 13, 2025</t>
  </si>
  <si>
    <t>NET BANKING</t>
  </si>
  <si>
    <t>08/13/2025</t>
  </si>
  <si>
    <t>1,400</t>
  </si>
  <si>
    <t>2025/08/15</t>
  </si>
  <si>
    <t xml:space="preserve">  notebook Pack</t>
  </si>
  <si>
    <t xml:space="preserve">  stationery</t>
  </si>
  <si>
    <t xml:space="preserve">  central</t>
  </si>
  <si>
    <t xml:space="preserve">  returned</t>
  </si>
  <si>
    <t xml:space="preserve">ord99420  </t>
  </si>
  <si>
    <t xml:space="preserve">redmi note 13  </t>
  </si>
  <si>
    <t xml:space="preserve">electronics  </t>
  </si>
  <si>
    <t>15,999</t>
  </si>
  <si>
    <t>08/19/2025</t>
  </si>
  <si>
    <t>Aug 19, 2025</t>
  </si>
  <si>
    <t>20.08.2025</t>
  </si>
  <si>
    <t>cotton T-Shirt</t>
  </si>
  <si>
    <t>2025/08/21</t>
  </si>
  <si>
    <t>BLUETOOTH SPEAKER</t>
  </si>
  <si>
    <t>Aug 22, 2025</t>
  </si>
  <si>
    <t>Rs. 3,399</t>
  </si>
  <si>
    <t xml:space="preserve">  ord89122</t>
  </si>
  <si>
    <t>08/22/2025</t>
  </si>
  <si>
    <t>oRD72731</t>
  </si>
  <si>
    <t>23.08.2025</t>
  </si>
  <si>
    <t>2025/08/24</t>
  </si>
  <si>
    <t xml:space="preserve">oRD42076  </t>
  </si>
  <si>
    <t>02.09.2025</t>
  </si>
  <si>
    <t xml:space="preserve">mixer Grinder  </t>
  </si>
  <si>
    <t xml:space="preserve">sOUTH  </t>
  </si>
  <si>
    <t>ord27684</t>
  </si>
  <si>
    <t>Sep 2, 2025</t>
  </si>
  <si>
    <t>redmi note 13</t>
  </si>
  <si>
    <t xml:space="preserve">  ORD78309</t>
  </si>
  <si>
    <t>2025/09/09</t>
  </si>
  <si>
    <t xml:space="preserve">  WATER PURIFIER</t>
  </si>
  <si>
    <t xml:space="preserve">  APPLIANCES</t>
  </si>
  <si>
    <t xml:space="preserve">  EAST</t>
  </si>
  <si>
    <t xml:space="preserve">  NET BANKING</t>
  </si>
  <si>
    <t>180</t>
  </si>
  <si>
    <t>oRD63062</t>
  </si>
  <si>
    <t>10.09.2025</t>
  </si>
  <si>
    <t>09/12/2025</t>
  </si>
  <si>
    <t>3599</t>
  </si>
  <si>
    <t>ord72423</t>
  </si>
  <si>
    <t>mixer grinder</t>
  </si>
  <si>
    <t>2025/09/17</t>
  </si>
  <si>
    <t>1</t>
  </si>
  <si>
    <t>oRD75400</t>
  </si>
  <si>
    <t>21.09.2025</t>
  </si>
  <si>
    <t>499</t>
  </si>
  <si>
    <t xml:space="preserve">  ORD55714</t>
  </si>
  <si>
    <t>09/23/2025</t>
  </si>
  <si>
    <t>Rs. 3,199</t>
  </si>
  <si>
    <t xml:space="preserve">  Returned</t>
  </si>
  <si>
    <t xml:space="preserve">  Debit Card</t>
  </si>
  <si>
    <t xml:space="preserve">ORD64638  </t>
  </si>
  <si>
    <t>Sep 27, 2025</t>
  </si>
  <si>
    <t xml:space="preserve">Smart Watch  </t>
  </si>
  <si>
    <t>BOAT HEADPHONES</t>
  </si>
  <si>
    <t>CENTRAL</t>
  </si>
  <si>
    <t>ord50082</t>
  </si>
  <si>
    <t>2025/10/01</t>
  </si>
  <si>
    <t>Oct 4, 2025</t>
  </si>
  <si>
    <t>10/04/2025</t>
  </si>
  <si>
    <t>oRD43454</t>
  </si>
  <si>
    <t>05.10.2025</t>
  </si>
  <si>
    <t>2025/10/06</t>
  </si>
  <si>
    <t>1800</t>
  </si>
  <si>
    <t>ord27329</t>
  </si>
  <si>
    <t>boat headphones</t>
  </si>
  <si>
    <t>10/06/2025</t>
  </si>
  <si>
    <t>15999</t>
  </si>
  <si>
    <t>07.10.2025</t>
  </si>
  <si>
    <t xml:space="preserve">ORD25289  </t>
  </si>
  <si>
    <t xml:space="preserve">Samsung Galaxy M14  </t>
  </si>
  <si>
    <t>2025/10/13</t>
  </si>
  <si>
    <t>Rs. 180</t>
  </si>
  <si>
    <t>ord65314</t>
  </si>
  <si>
    <t>Oct 15, 2025</t>
  </si>
  <si>
    <t xml:space="preserve">  oRD56522</t>
  </si>
  <si>
    <t>16.10.2025</t>
  </si>
  <si>
    <t xml:space="preserve">  bluetooth Speaker</t>
  </si>
  <si>
    <t xml:space="preserve">  net Banking</t>
  </si>
  <si>
    <t>Rs. 3,699</t>
  </si>
  <si>
    <t>2025/10/25</t>
  </si>
  <si>
    <t>2,299</t>
  </si>
  <si>
    <t>oRD10414</t>
  </si>
  <si>
    <t>27.10.2025</t>
  </si>
  <si>
    <t>10/28/2025</t>
  </si>
  <si>
    <t>Nov 1, 2025</t>
  </si>
  <si>
    <t xml:space="preserve">  ORD20938  </t>
  </si>
  <si>
    <t>2025/11/01</t>
  </si>
  <si>
    <t xml:space="preserve">  Notebook Pack  </t>
  </si>
  <si>
    <t xml:space="preserve">  Stationery  </t>
  </si>
  <si>
    <t xml:space="preserve">  East  </t>
  </si>
  <si>
    <t xml:space="preserve">  Cancelled  </t>
  </si>
  <si>
    <t xml:space="preserve">  UPI  </t>
  </si>
  <si>
    <t>oRD91636</t>
  </si>
  <si>
    <t>03.11.2025</t>
  </si>
  <si>
    <t>Nov 4, 2025</t>
  </si>
  <si>
    <t>2099</t>
  </si>
  <si>
    <t>11/05/2025</t>
  </si>
  <si>
    <t>ord10215</t>
  </si>
  <si>
    <t>2025/11/07</t>
  </si>
  <si>
    <t xml:space="preserve">  ORD18740</t>
  </si>
  <si>
    <t>11/10/2025</t>
  </si>
  <si>
    <t xml:space="preserve">  Boat Headphones</t>
  </si>
  <si>
    <t>Nov 12, 2025</t>
  </si>
  <si>
    <t>ord71505</t>
  </si>
  <si>
    <t>15.11.2025</t>
  </si>
  <si>
    <t>Rs. 7,199</t>
  </si>
  <si>
    <t>2025/11/20</t>
  </si>
  <si>
    <t xml:space="preserve">ORD49136  </t>
  </si>
  <si>
    <t xml:space="preserve">Processing  </t>
  </si>
  <si>
    <t>Nov 23, 2025</t>
  </si>
  <si>
    <t>5,000</t>
  </si>
  <si>
    <t>11/24/2025</t>
  </si>
  <si>
    <t>oRD69219</t>
  </si>
  <si>
    <t>25.11.2025</t>
  </si>
  <si>
    <t>3,399</t>
  </si>
  <si>
    <t>2025/11/27</t>
  </si>
  <si>
    <t>699</t>
  </si>
  <si>
    <t>oRD71303</t>
  </si>
  <si>
    <t>01.12.2025</t>
  </si>
  <si>
    <t>7</t>
  </si>
  <si>
    <t>uPI</t>
  </si>
  <si>
    <t>Dec 6, 2025</t>
  </si>
  <si>
    <t>2025/12/08</t>
  </si>
  <si>
    <t xml:space="preserve">oRD49985  </t>
  </si>
  <si>
    <t>10.12.2025</t>
  </si>
  <si>
    <t xml:space="preserve">bluetooth Speaker  </t>
  </si>
  <si>
    <t xml:space="preserve">cancelled  </t>
  </si>
  <si>
    <t xml:space="preserve">debit Card  </t>
  </si>
  <si>
    <t xml:space="preserve">  ORD28934</t>
  </si>
  <si>
    <t>12/12/2025</t>
  </si>
  <si>
    <t>2025/12/17</t>
  </si>
  <si>
    <t>Rs. 1,099</t>
  </si>
  <si>
    <t>oRD47624</t>
  </si>
  <si>
    <t>19.12.2025</t>
  </si>
  <si>
    <t>ord39975</t>
  </si>
  <si>
    <t>12/21/2025</t>
  </si>
  <si>
    <t>Dec 21, 2025</t>
  </si>
  <si>
    <t xml:space="preserve">  oRD29109</t>
  </si>
  <si>
    <t>2025/12/21</t>
  </si>
  <si>
    <t xml:space="preserve">  smart Watch</t>
  </si>
  <si>
    <t>3499</t>
  </si>
  <si>
    <t>13,500</t>
  </si>
  <si>
    <t>Dec 24, 2025</t>
  </si>
  <si>
    <t xml:space="preserve">ord92598  </t>
  </si>
  <si>
    <t>12/25/2025</t>
  </si>
  <si>
    <t>149</t>
  </si>
  <si>
    <t>26.12.2025</t>
  </si>
  <si>
    <t>2025/12/27</t>
  </si>
  <si>
    <t xml:space="preserve">  ORD36719</t>
  </si>
  <si>
    <t>12/29/2025</t>
  </si>
  <si>
    <t xml:space="preserve">  Bluetoth Speaker</t>
  </si>
  <si>
    <t xml:space="preserve"> </t>
  </si>
  <si>
    <t>Row Labels</t>
  </si>
  <si>
    <t>Grand Total</t>
  </si>
  <si>
    <t>Category Performance</t>
  </si>
  <si>
    <t>Regional Performance</t>
  </si>
  <si>
    <t>Revenue</t>
  </si>
  <si>
    <t>Profit</t>
  </si>
  <si>
    <t>Avg Margin %</t>
  </si>
  <si>
    <t>Order Count</t>
  </si>
  <si>
    <t>Total Revenue</t>
  </si>
  <si>
    <t>Total Profit</t>
  </si>
  <si>
    <t>Average Margin</t>
  </si>
  <si>
    <t>INTERACTIVE FILTERS</t>
  </si>
  <si>
    <t>PERFORMANCE INSIGHTS</t>
  </si>
  <si>
    <t>ORD56440-2</t>
  </si>
  <si>
    <t>Profit Margin</t>
  </si>
  <si>
    <t>Totals</t>
  </si>
  <si>
    <t>Sales Performance Dashboard</t>
  </si>
  <si>
    <t>Revenue (INR)</t>
  </si>
  <si>
    <t>Profit (INR)</t>
  </si>
  <si>
    <t>Avg Profit Margin</t>
  </si>
  <si>
    <t>Sales Data Cleaning &amp; Transformation</t>
  </si>
  <si>
    <t>Records Cleaned</t>
  </si>
  <si>
    <t>Overall Profit Margin</t>
  </si>
  <si>
    <t>CLEANED DATASET | Standardized source fields and formula-driven business metrics</t>
  </si>
  <si>
    <t>DATA QUALITY &amp; METHODS</t>
  </si>
  <si>
    <t>Standardization</t>
  </si>
  <si>
    <t>Trimmed spaces, normalized case, standardized dates and converted currency text to numbers.</t>
  </si>
  <si>
    <t>Calculated Fields</t>
  </si>
  <si>
    <t>Revenue, Profit and Profit Margin use structured table formulas for transparent recalculation.</t>
  </si>
  <si>
    <t>Validation</t>
  </si>
  <si>
    <t>Used XLOOKUP cross-checks plus duplicate, missing-field and formula-error reviews.</t>
  </si>
  <si>
    <t>Outcome</t>
  </si>
  <si>
    <t>A reusable dataset connected to pivot tables, interactive slicers, charts and management insights.</t>
  </si>
  <si>
    <t>Unique Orders</t>
  </si>
  <si>
    <t>Date Coverage</t>
  </si>
  <si>
    <t>Negative-Margin Orders</t>
  </si>
  <si>
    <t>Required-Field Completeness</t>
  </si>
  <si>
    <t>XLOOKUP VALIDATION | Retrieve each cleaned record by Order ID and compare all transformed fields</t>
  </si>
  <si>
    <t>Workflow: raw sales records cleaned, standardized, validated and converted into an interactive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</si>
</sst>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dd/mm/yyyy;@"/>
    <numFmt numFmtId="166" formatCode="0.0%"/>
  </numFmts>
  <fonts count="33" x14ac:knownFonts="1">
    <font>
      <sz val="11"/>
      <color theme="1"/>
      <name val="Calibri"/>
      <family val="2"/>
      <scheme val="minor"/>
    </font>
    <font>
      <sz val="11"/>
      <color theme="1"/>
      <name val="Calibri"/>
      <scheme val="minor"/>
    </font>
    <font>
      <b/>
      <sz val="11"/>
      <color theme="1"/>
      <name val="Calibri"/>
      <scheme val="minor"/>
    </font>
    <font>
      <sz val="8"/>
      <name val="Calibri"/>
      <family val="2"/>
      <scheme val="minor"/>
    </font>
    <font>
      <sz val="11"/>
      <color theme="1"/>
      <name val="Calibri"/>
      <family val="2"/>
      <scheme val="minor"/>
    </font>
    <font>
      <b/>
      <sz val="20"/>
      <color rgb="FFFFFFFF"/>
      <name val="Calibri"/>
      <family val="2"/>
      <scheme val="minor"/>
    </font>
    <font>
      <b/>
      <sz val="11"/>
      <color rgb="FF17365D"/>
      <name val="Calibri"/>
      <family val="2"/>
      <scheme val="minor"/>
    </font>
    <font>
      <b/>
      <sz val="12"/>
      <color rgb="FF17365D"/>
      <name val="Calibri"/>
      <family val="2"/>
      <scheme val="minor"/>
    </font>
    <font>
      <sz val="11"/>
      <color theme="1"/>
      <name val="Aptos"/>
      <family val="2"/>
    </font>
    <font>
      <b/>
      <sz val="17"/>
      <color rgb="FFFFFFFF"/>
      <name val="Calibri"/>
      <family val="2"/>
      <scheme val="minor"/>
    </font>
    <font>
      <b/>
      <sz val="9"/>
      <color rgb="FFFFFFFF"/>
      <name val="Calibri"/>
      <family val="2"/>
      <scheme val="minor"/>
    </font>
    <font>
      <b/>
      <sz val="17"/>
      <color rgb="FF17365D"/>
      <name val="Calibri"/>
      <family val="2"/>
      <scheme val="minor"/>
    </font>
    <font>
      <b/>
      <sz val="16"/>
      <color rgb="FFFFFFFF"/>
      <name val="Calibri"/>
      <family val="2"/>
      <scheme val="minor"/>
    </font>
    <font>
      <sz val="11"/>
      <color rgb="FF1F2937"/>
      <name val="Calibri"/>
      <family val="2"/>
      <scheme val="minor"/>
    </font>
    <font>
      <b/>
      <sz val="11"/>
      <color rgb="FFFFFFFF"/>
      <name val="Aptos"/>
    </font>
    <font>
      <sz val="11"/>
      <color rgb="FFFFFFFF"/>
      <name val="Aptos"/>
    </font>
    <font>
      <sz val="11"/>
      <color rgb="FF262626"/>
      <name val="Aptos"/>
    </font>
    <font>
      <b/>
      <sz val="11"/>
      <color rgb="FF262626"/>
      <name val="Aptos"/>
    </font>
    <font>
      <b/>
      <sz val="16"/>
      <color rgb="FF262626"/>
      <name val="Aptos"/>
    </font>
    <font>
      <sz val="11"/>
      <color rgb="FF262626"/>
      <name val="Calibri"/>
      <family val="2"/>
      <scheme val="minor"/>
    </font>
    <font>
      <b/>
      <sz val="10"/>
      <color rgb="FF262626"/>
      <name val="Calibri"/>
      <family val="2"/>
      <scheme val="minor"/>
    </font>
    <font>
      <b/>
      <sz val="20"/>
      <color rgb="FFFFFFFF"/>
      <name val="Aptos"/>
    </font>
    <font>
      <sz val="10"/>
      <color rgb="FFFFFFFF"/>
      <name val="Aptos"/>
    </font>
    <font>
      <b/>
      <sz val="15"/>
      <color rgb="FFFFFFFF"/>
      <name val="Aptos"/>
    </font>
    <font>
      <b/>
      <sz val="11"/>
      <color rgb="FF001F43"/>
      <name val="Aptos"/>
    </font>
    <font>
      <sz val="11"/>
      <color rgb="FF001F43"/>
      <name val="Aptos"/>
    </font>
    <font>
      <b/>
      <sz val="11"/>
      <color rgb="FFE17305"/>
      <name val="Aptos"/>
    </font>
    <font>
      <sz val="11"/>
      <color rgb="FFE17305"/>
      <name val="Aptos"/>
    </font>
    <font>
      <b/>
      <sz val="16"/>
      <color rgb="FFE17305"/>
      <name val="Aptos"/>
    </font>
    <font>
      <b/>
      <sz val="11"/>
      <color rgb="FF117E39"/>
      <name val="Aptos"/>
    </font>
    <font>
      <sz val="11"/>
      <color rgb="FF117E39"/>
      <name val="Aptos"/>
    </font>
    <font>
      <b/>
      <sz val="16"/>
      <color rgb="FF117E39"/>
      <name val="Aptos"/>
    </font>
    <font>
      <b/>
      <sz val="11"/>
      <color rgb="FF262626"/>
      <name val="Calibri"/>
      <family val="2"/>
      <scheme val="minor"/>
    </font>
  </fonts>
  <fills count="20">
    <fill>
      <patternFill patternType="none"/>
    </fill>
    <fill>
      <patternFill patternType="gray125"/>
    </fill>
    <fill>
      <patternFill patternType="solid">
        <fgColor rgb="FFD9D9D9"/>
        <bgColor indexed="64"/>
      </patternFill>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F7F9FC"/>
        <bgColor indexed="64"/>
      </patternFill>
    </fill>
    <fill>
      <patternFill patternType="solid">
        <fgColor rgb="FF70AD47"/>
        <bgColor indexed="64"/>
      </patternFill>
    </fill>
    <fill>
      <patternFill patternType="solid">
        <fgColor rgb="FFED7D31"/>
        <bgColor indexed="64"/>
      </patternFill>
    </fill>
    <fill>
      <patternFill patternType="solid">
        <fgColor rgb="FF5B9BD5"/>
        <bgColor indexed="64"/>
      </patternFill>
    </fill>
    <fill>
      <patternFill patternType="solid">
        <fgColor rgb="FF16324F"/>
        <bgColor indexed="64"/>
      </patternFill>
    </fill>
    <fill>
      <patternFill patternType="solid">
        <fgColor rgb="FFF8FAFC"/>
        <bgColor indexed="64"/>
      </patternFill>
    </fill>
    <fill>
      <patternFill patternType="solid">
        <fgColor rgb="FFFFFFFF"/>
        <bgColor indexed="64"/>
      </patternFill>
    </fill>
    <fill>
      <patternFill patternType="solid">
        <fgColor rgb="FF001F43"/>
        <bgColor indexed="64"/>
      </patternFill>
    </fill>
    <fill>
      <patternFill patternType="solid">
        <fgColor rgb="FFABBAD6"/>
        <bgColor indexed="64"/>
      </patternFill>
    </fill>
    <fill>
      <patternFill patternType="solid">
        <fgColor rgb="FFE5D0A4"/>
        <bgColor indexed="64"/>
      </patternFill>
    </fill>
    <fill>
      <patternFill patternType="solid">
        <fgColor rgb="FFCBCBCB"/>
        <bgColor indexed="64"/>
      </patternFill>
    </fill>
    <fill>
      <patternFill patternType="solid">
        <fgColor rgb="FFADD6EB"/>
        <bgColor indexed="64"/>
      </patternFill>
    </fill>
    <fill>
      <patternFill patternType="solid">
        <fgColor rgb="FFF2F6FF"/>
        <bgColor indexed="64"/>
      </patternFill>
    </fill>
    <fill>
      <patternFill patternType="solid">
        <fgColor rgb="FFF8F8F8"/>
        <bgColor indexed="64"/>
      </patternFill>
    </fill>
  </fills>
  <borders count="16">
    <border>
      <left/>
      <right/>
      <top/>
      <bottom/>
      <diagonal/>
    </border>
    <border>
      <left/>
      <right/>
      <top/>
      <bottom style="thin">
        <color rgb="FF808080"/>
      </bottom>
      <diagonal/>
    </border>
    <border>
      <left/>
      <right/>
      <top/>
      <bottom style="thin">
        <color rgb="FFD9E2F3"/>
      </bottom>
      <diagonal/>
    </border>
    <border>
      <left/>
      <right/>
      <top style="thin">
        <color rgb="FFD9D9D9"/>
      </top>
      <bottom/>
      <diagonal/>
    </border>
    <border>
      <left/>
      <right/>
      <top/>
      <bottom style="thin">
        <color rgb="FFD9D9D9"/>
      </bottom>
      <diagonal/>
    </border>
    <border>
      <left style="thin">
        <color rgb="FFD9D9D9"/>
      </left>
      <right/>
      <top style="thin">
        <color rgb="FFD9D9D9"/>
      </top>
      <bottom/>
      <diagonal/>
    </border>
    <border>
      <left style="thin">
        <color rgb="FFD9D9D9"/>
      </left>
      <right/>
      <top/>
      <bottom/>
      <diagonal/>
    </border>
    <border>
      <left style="thin">
        <color rgb="FFD9D9D9"/>
      </left>
      <right/>
      <top/>
      <bottom style="thin">
        <color rgb="FFD9D9D9"/>
      </bottom>
      <diagonal/>
    </border>
    <border>
      <left/>
      <right style="thin">
        <color rgb="FFD9D9D9"/>
      </right>
      <top style="thin">
        <color rgb="FFD9D9D9"/>
      </top>
      <bottom/>
      <diagonal/>
    </border>
    <border>
      <left/>
      <right style="thin">
        <color rgb="FFD9D9D9"/>
      </right>
      <top/>
      <bottom/>
      <diagonal/>
    </border>
    <border>
      <left/>
      <right style="thin">
        <color rgb="FFD9D9D9"/>
      </right>
      <top/>
      <bottom style="thin">
        <color rgb="FFD9D9D9"/>
      </bottom>
      <diagonal/>
    </border>
    <border>
      <left/>
      <right/>
      <top style="medium">
        <color rgb="FF001F43"/>
      </top>
      <bottom/>
      <diagonal/>
    </border>
    <border>
      <left/>
      <right/>
      <top style="thin">
        <color rgb="FFD9D9D9"/>
      </top>
      <bottom style="medium">
        <color rgb="FF001F43"/>
      </bottom>
      <diagonal/>
    </border>
    <border>
      <left/>
      <right/>
      <top/>
      <bottom style="medium">
        <color rgb="FF001F43"/>
      </bottom>
      <diagonal/>
    </border>
    <border>
      <left/>
      <right style="thin">
        <color rgb="FFD9D9D9"/>
      </right>
      <top style="thin">
        <color rgb="FFD9D9D9"/>
      </top>
      <bottom style="medium">
        <color rgb="FF001F43"/>
      </bottom>
      <diagonal/>
    </border>
    <border>
      <left style="thin">
        <color rgb="FFD9D9D9"/>
      </left>
      <right/>
      <top style="thin">
        <color rgb="FFD9D9D9"/>
      </top>
      <bottom style="medium">
        <color rgb="FF001F43"/>
      </bottom>
      <diagonal/>
    </border>
  </borders>
  <cellStyleXfs count="2">
    <xf numFmtId="0" fontId="0" fillId="0" borderId="0"/>
    <xf numFmtId="9" fontId="4" fillId="0" borderId="0" applyFont="0" applyFill="0" applyBorder="0" applyAlignment="0" applyProtection="0"/>
  </cellStyleXfs>
  <cellXfs count="111">
    <xf numFmtId="0" fontId="0" fillId="0" borderId="0" xfId="0"/>
    <xf numFmtId="0" fontId="1" fillId="0" borderId="0" xfId="0" applyFont="1"/>
    <xf numFmtId="0" fontId="1" fillId="0" borderId="0" xfId="0" quotePrefix="1" applyFont="1"/>
    <xf numFmtId="0" fontId="2" fillId="2" borderId="1" xfId="0" applyFont="1" applyFill="1" applyBorder="1"/>
    <xf numFmtId="0" fontId="0" fillId="0" borderId="0" xfId="0" applyAlignment="1">
      <alignment horizontal="center"/>
    </xf>
    <xf numFmtId="9" fontId="0" fillId="0" borderId="0" xfId="1" applyFont="1" applyAlignment="1">
      <alignment horizontal="center"/>
    </xf>
    <xf numFmtId="0" fontId="0" fillId="0" borderId="0" xfId="0" pivotButton="1"/>
    <xf numFmtId="0" fontId="0" fillId="0" borderId="0" xfId="0" applyAlignment="1">
      <alignment horizontal="left"/>
    </xf>
    <xf numFmtId="1" fontId="0" fillId="0" borderId="0" xfId="0" applyNumberFormat="1"/>
    <xf numFmtId="165" fontId="0" fillId="0" borderId="0" xfId="0" applyNumberFormat="1" applyAlignment="1">
      <alignment horizontal="center"/>
    </xf>
    <xf numFmtId="0" fontId="8" fillId="0" borderId="0" xfId="0" applyFont="1"/>
    <xf numFmtId="0" fontId="0" fillId="0" borderId="0" xfId="0" applyAlignment="1">
      <alignment vertical="center"/>
    </xf>
    <xf numFmtId="3" fontId="0" fillId="0" borderId="0" xfId="0" applyNumberFormat="1"/>
    <xf numFmtId="166" fontId="0" fillId="0" borderId="0" xfId="0" applyNumberFormat="1"/>
    <xf numFmtId="0" fontId="0" fillId="0" borderId="0" xfId="0" applyAlignment="1">
      <alignment horizontal="right" vertical="top"/>
    </xf>
    <xf numFmtId="0" fontId="0" fillId="12" borderId="0" xfId="0" applyFill="1" applyAlignment="1">
      <alignment horizontal="center"/>
    </xf>
    <xf numFmtId="9" fontId="0" fillId="12" borderId="0" xfId="1" applyFont="1" applyFill="1" applyAlignment="1">
      <alignment horizontal="center"/>
    </xf>
    <xf numFmtId="165" fontId="0" fillId="12" borderId="0" xfId="0" applyNumberFormat="1" applyFill="1" applyAlignment="1">
      <alignment horizontal="center"/>
    </xf>
    <xf numFmtId="0" fontId="16" fillId="12" borderId="0" xfId="0" applyFont="1" applyFill="1" applyAlignment="1">
      <alignment horizontal="center" vertical="center"/>
    </xf>
    <xf numFmtId="9" fontId="16" fillId="12" borderId="0" xfId="1" applyFont="1" applyFill="1" applyBorder="1" applyAlignment="1">
      <alignment horizontal="center" vertical="center"/>
    </xf>
    <xf numFmtId="165" fontId="16" fillId="12" borderId="0" xfId="0" applyNumberFormat="1" applyFont="1" applyFill="1" applyAlignment="1">
      <alignment horizontal="center" vertical="center"/>
    </xf>
    <xf numFmtId="0" fontId="17" fillId="12" borderId="0" xfId="0" applyFont="1" applyFill="1" applyAlignment="1">
      <alignment horizontal="center" vertical="center"/>
    </xf>
    <xf numFmtId="0" fontId="19" fillId="12" borderId="0" xfId="0" applyFont="1" applyFill="1" applyAlignment="1">
      <alignment horizontal="center"/>
    </xf>
    <xf numFmtId="164" fontId="19" fillId="12" borderId="0" xfId="0" applyNumberFormat="1" applyFont="1" applyFill="1" applyAlignment="1">
      <alignment horizontal="center"/>
    </xf>
    <xf numFmtId="3" fontId="19" fillId="12" borderId="0" xfId="0" applyNumberFormat="1" applyFont="1" applyFill="1" applyAlignment="1">
      <alignment horizontal="center"/>
    </xf>
    <xf numFmtId="3" fontId="20" fillId="12" borderId="0" xfId="0" applyNumberFormat="1" applyFont="1" applyFill="1" applyAlignment="1">
      <alignment horizontal="center"/>
    </xf>
    <xf numFmtId="166" fontId="19" fillId="12" borderId="0" xfId="1" applyNumberFormat="1" applyFont="1" applyFill="1" applyBorder="1" applyAlignment="1">
      <alignment horizontal="center"/>
    </xf>
    <xf numFmtId="165" fontId="19" fillId="12" borderId="0" xfId="0" applyNumberFormat="1" applyFont="1" applyFill="1" applyAlignment="1">
      <alignment horizontal="center"/>
    </xf>
    <xf numFmtId="9" fontId="19" fillId="12" borderId="0" xfId="1" applyFont="1" applyFill="1" applyBorder="1" applyAlignment="1">
      <alignment horizontal="center"/>
    </xf>
    <xf numFmtId="0" fontId="32" fillId="12" borderId="11" xfId="0" applyFont="1" applyFill="1" applyBorder="1" applyAlignment="1">
      <alignment horizontal="center"/>
    </xf>
    <xf numFmtId="164" fontId="32" fillId="12" borderId="11" xfId="0" applyNumberFormat="1" applyFont="1" applyFill="1" applyBorder="1" applyAlignment="1">
      <alignment horizontal="center"/>
    </xf>
    <xf numFmtId="3" fontId="32" fillId="12" borderId="11" xfId="0" applyNumberFormat="1" applyFont="1" applyFill="1" applyBorder="1" applyAlignment="1">
      <alignment horizontal="center"/>
    </xf>
    <xf numFmtId="3" fontId="32" fillId="12" borderId="11" xfId="0" applyNumberFormat="1" applyFont="1" applyFill="1" applyBorder="1"/>
    <xf numFmtId="166" fontId="32" fillId="12" borderId="11" xfId="0" applyNumberFormat="1" applyFont="1" applyFill="1" applyBorder="1"/>
    <xf numFmtId="0" fontId="24" fillId="18" borderId="13" xfId="0" applyFont="1" applyFill="1" applyBorder="1" applyAlignment="1">
      <alignment horizontal="center" vertical="center"/>
    </xf>
    <xf numFmtId="1" fontId="24" fillId="18" borderId="13" xfId="0" applyNumberFormat="1" applyFont="1" applyFill="1" applyBorder="1" applyAlignment="1">
      <alignment horizontal="center" vertical="center"/>
    </xf>
    <xf numFmtId="9" fontId="24" fillId="18" borderId="13" xfId="1" applyFont="1" applyFill="1" applyBorder="1" applyAlignment="1">
      <alignment horizontal="center" vertical="center"/>
    </xf>
    <xf numFmtId="0" fontId="19" fillId="19" borderId="0" xfId="0" applyFont="1" applyFill="1" applyAlignment="1">
      <alignment horizontal="center"/>
    </xf>
    <xf numFmtId="164" fontId="19" fillId="19" borderId="0" xfId="0" applyNumberFormat="1" applyFont="1" applyFill="1" applyAlignment="1">
      <alignment horizontal="center"/>
    </xf>
    <xf numFmtId="3" fontId="19" fillId="19" borderId="0" xfId="0" applyNumberFormat="1" applyFont="1" applyFill="1" applyAlignment="1">
      <alignment horizontal="center"/>
    </xf>
    <xf numFmtId="3" fontId="20" fillId="19" borderId="0" xfId="0" applyNumberFormat="1" applyFont="1" applyFill="1" applyAlignment="1">
      <alignment horizontal="center"/>
    </xf>
    <xf numFmtId="166" fontId="19" fillId="19" borderId="0" xfId="1" applyNumberFormat="1" applyFont="1" applyFill="1" applyBorder="1" applyAlignment="1">
      <alignment horizontal="center"/>
    </xf>
    <xf numFmtId="0" fontId="19" fillId="12" borderId="6" xfId="0" applyFont="1" applyFill="1" applyBorder="1" applyAlignment="1">
      <alignment horizontal="center"/>
    </xf>
    <xf numFmtId="9" fontId="19" fillId="12" borderId="9" xfId="1" applyFont="1" applyFill="1" applyBorder="1" applyAlignment="1">
      <alignment horizontal="center"/>
    </xf>
    <xf numFmtId="0" fontId="24" fillId="18" borderId="15" xfId="0" applyFont="1" applyFill="1" applyBorder="1" applyAlignment="1">
      <alignment horizontal="center" vertical="center"/>
    </xf>
    <xf numFmtId="165" fontId="24" fillId="18" borderId="12" xfId="0" applyNumberFormat="1" applyFont="1" applyFill="1" applyBorder="1" applyAlignment="1">
      <alignment horizontal="center" vertical="center"/>
    </xf>
    <xf numFmtId="0" fontId="24" fillId="18" borderId="12" xfId="0" applyFont="1" applyFill="1" applyBorder="1" applyAlignment="1">
      <alignment horizontal="center" vertical="center"/>
    </xf>
    <xf numFmtId="1" fontId="24" fillId="18" borderId="12" xfId="0" applyNumberFormat="1" applyFont="1" applyFill="1" applyBorder="1" applyAlignment="1">
      <alignment horizontal="center" vertical="center"/>
    </xf>
    <xf numFmtId="9" fontId="24" fillId="18" borderId="14" xfId="1" applyFont="1" applyFill="1" applyBorder="1" applyAlignment="1">
      <alignment horizontal="center" vertical="center"/>
    </xf>
    <xf numFmtId="0" fontId="19" fillId="19" borderId="6" xfId="0" applyFont="1" applyFill="1" applyBorder="1" applyAlignment="1">
      <alignment horizontal="center"/>
    </xf>
    <xf numFmtId="165" fontId="19" fillId="19" borderId="0" xfId="0" applyNumberFormat="1" applyFont="1" applyFill="1" applyAlignment="1">
      <alignment horizontal="center"/>
    </xf>
    <xf numFmtId="9" fontId="19" fillId="19" borderId="9" xfId="1" applyFont="1" applyFill="1" applyBorder="1" applyAlignment="1">
      <alignment horizontal="center"/>
    </xf>
    <xf numFmtId="0" fontId="19" fillId="19" borderId="7" xfId="0" applyFont="1" applyFill="1" applyBorder="1" applyAlignment="1">
      <alignment horizontal="center"/>
    </xf>
    <xf numFmtId="165" fontId="19" fillId="19" borderId="4" xfId="0" applyNumberFormat="1" applyFont="1" applyFill="1" applyBorder="1" applyAlignment="1">
      <alignment horizontal="center"/>
    </xf>
    <xf numFmtId="0" fontId="19" fillId="19" borderId="4" xfId="0" applyFont="1" applyFill="1" applyBorder="1" applyAlignment="1">
      <alignment horizontal="center"/>
    </xf>
    <xf numFmtId="9" fontId="19" fillId="19" borderId="10" xfId="1" applyFont="1" applyFill="1" applyBorder="1" applyAlignment="1">
      <alignment horizontal="center"/>
    </xf>
    <xf numFmtId="0" fontId="13" fillId="11" borderId="2" xfId="0" applyFont="1" applyFill="1" applyBorder="1" applyAlignment="1">
      <alignment vertical="center" wrapText="1"/>
    </xf>
    <xf numFmtId="0" fontId="13" fillId="11" borderId="0" xfId="0" applyFont="1" applyFill="1" applyAlignment="1">
      <alignment vertical="center" wrapText="1"/>
    </xf>
    <xf numFmtId="0" fontId="5" fillId="3" borderId="0" xfId="0" applyFont="1" applyFill="1" applyAlignment="1">
      <alignment horizontal="left" vertical="center"/>
    </xf>
    <xf numFmtId="0" fontId="7" fillId="4" borderId="0" xfId="0" applyFont="1" applyFill="1"/>
    <xf numFmtId="0" fontId="12" fillId="10" borderId="0" xfId="0" applyFont="1" applyFill="1" applyAlignment="1">
      <alignment vertical="center"/>
    </xf>
    <xf numFmtId="0" fontId="9" fillId="3" borderId="0" xfId="0" applyFont="1" applyFill="1" applyAlignment="1">
      <alignment vertical="center"/>
    </xf>
    <xf numFmtId="0" fontId="6" fillId="4" borderId="0" xfId="0" applyFont="1" applyFill="1" applyAlignment="1">
      <alignment horizontal="center" vertical="center"/>
    </xf>
    <xf numFmtId="0" fontId="10" fillId="9" borderId="0" xfId="0" applyFont="1" applyFill="1" applyAlignment="1">
      <alignment horizontal="center" vertical="center"/>
    </xf>
    <xf numFmtId="1" fontId="11" fillId="6" borderId="0" xfId="0" applyNumberFormat="1" applyFont="1" applyFill="1" applyAlignment="1">
      <alignment horizontal="center" vertical="center"/>
    </xf>
    <xf numFmtId="1" fontId="11" fillId="6" borderId="2" xfId="0" applyNumberFormat="1" applyFont="1" applyFill="1" applyBorder="1" applyAlignment="1">
      <alignment horizontal="center" vertical="center"/>
    </xf>
    <xf numFmtId="0" fontId="10" fillId="5" borderId="0" xfId="0" applyFont="1" applyFill="1" applyAlignment="1">
      <alignment horizontal="center" vertical="center"/>
    </xf>
    <xf numFmtId="3" fontId="11" fillId="6" borderId="0" xfId="0" applyNumberFormat="1" applyFont="1" applyFill="1" applyAlignment="1">
      <alignment horizontal="center" vertical="center"/>
    </xf>
    <xf numFmtId="3" fontId="11" fillId="6" borderId="2" xfId="0" applyNumberFormat="1" applyFont="1" applyFill="1" applyBorder="1" applyAlignment="1">
      <alignment horizontal="center" vertical="center"/>
    </xf>
    <xf numFmtId="0" fontId="10" fillId="7" borderId="0" xfId="0" applyFont="1" applyFill="1" applyAlignment="1">
      <alignment horizontal="center" vertical="center"/>
    </xf>
    <xf numFmtId="0" fontId="10" fillId="8" borderId="0" xfId="0" applyFont="1" applyFill="1" applyAlignment="1">
      <alignment horizontal="center" vertical="center"/>
    </xf>
    <xf numFmtId="166" fontId="11" fillId="6" borderId="0" xfId="0" applyNumberFormat="1" applyFont="1" applyFill="1" applyAlignment="1">
      <alignment horizontal="center" vertical="center"/>
    </xf>
    <xf numFmtId="166" fontId="11" fillId="6" borderId="2" xfId="0" applyNumberFormat="1" applyFont="1" applyFill="1" applyBorder="1" applyAlignment="1">
      <alignment horizontal="center" vertical="center"/>
    </xf>
    <xf numFmtId="0" fontId="24" fillId="15" borderId="0" xfId="0" applyFont="1" applyFill="1" applyAlignment="1">
      <alignment horizontal="center" vertical="center"/>
    </xf>
    <xf numFmtId="0" fontId="21" fillId="13" borderId="0" xfId="0" applyFont="1" applyFill="1" applyAlignment="1">
      <alignment horizontal="left" vertical="center"/>
    </xf>
    <xf numFmtId="0" fontId="14" fillId="13" borderId="0" xfId="0" applyFont="1" applyFill="1" applyAlignment="1">
      <alignment horizontal="left" vertical="center"/>
    </xf>
    <xf numFmtId="0" fontId="22" fillId="13" borderId="0" xfId="0" applyFont="1" applyFill="1" applyAlignment="1">
      <alignment horizontal="left" vertical="center" wrapText="1"/>
    </xf>
    <xf numFmtId="0" fontId="15" fillId="13" borderId="0" xfId="0" applyFont="1" applyFill="1" applyAlignment="1">
      <alignment horizontal="left" vertical="center"/>
    </xf>
    <xf numFmtId="0" fontId="24" fillId="18" borderId="5" xfId="0" applyFont="1" applyFill="1" applyBorder="1" applyAlignment="1">
      <alignment horizontal="center" vertical="center"/>
    </xf>
    <xf numFmtId="0" fontId="25" fillId="18" borderId="3" xfId="0" applyFont="1" applyFill="1" applyBorder="1" applyAlignment="1">
      <alignment horizontal="center" vertical="center"/>
    </xf>
    <xf numFmtId="0" fontId="18" fillId="18" borderId="6" xfId="0" applyFont="1" applyFill="1" applyBorder="1" applyAlignment="1">
      <alignment horizontal="center" vertical="center"/>
    </xf>
    <xf numFmtId="0" fontId="17" fillId="18" borderId="0" xfId="0" applyFont="1" applyFill="1" applyAlignment="1">
      <alignment horizontal="center" vertical="center"/>
    </xf>
    <xf numFmtId="0" fontId="17" fillId="18" borderId="7" xfId="0" applyFont="1" applyFill="1" applyBorder="1" applyAlignment="1">
      <alignment horizontal="center" vertical="center"/>
    </xf>
    <xf numFmtId="0" fontId="17" fillId="18" borderId="4" xfId="0" applyFont="1" applyFill="1" applyBorder="1" applyAlignment="1">
      <alignment horizontal="center" vertical="center"/>
    </xf>
    <xf numFmtId="3" fontId="18" fillId="18" borderId="6" xfId="0" applyNumberFormat="1" applyFont="1" applyFill="1" applyBorder="1" applyAlignment="1">
      <alignment horizontal="center" vertical="center"/>
    </xf>
    <xf numFmtId="0" fontId="25" fillId="18" borderId="8" xfId="0" applyFont="1" applyFill="1" applyBorder="1" applyAlignment="1">
      <alignment horizontal="center" vertical="center"/>
    </xf>
    <xf numFmtId="0" fontId="17" fillId="18" borderId="9" xfId="0" applyFont="1" applyFill="1" applyBorder="1" applyAlignment="1">
      <alignment horizontal="center" vertical="center"/>
    </xf>
    <xf numFmtId="0" fontId="17" fillId="18" borderId="10" xfId="0" applyFont="1" applyFill="1" applyBorder="1" applyAlignment="1">
      <alignment horizontal="center" vertical="center"/>
    </xf>
    <xf numFmtId="0" fontId="24" fillId="14" borderId="0" xfId="0" applyFont="1" applyFill="1" applyAlignment="1">
      <alignment horizontal="center" vertical="center"/>
    </xf>
    <xf numFmtId="0" fontId="23" fillId="13" borderId="0" xfId="0" applyFont="1" applyFill="1" applyAlignment="1">
      <alignment vertical="center"/>
    </xf>
    <xf numFmtId="0" fontId="14" fillId="13" borderId="0" xfId="0" applyFont="1" applyFill="1" applyAlignment="1">
      <alignment vertical="center"/>
    </xf>
    <xf numFmtId="0" fontId="24" fillId="14" borderId="0" xfId="0" applyFont="1" applyFill="1" applyAlignment="1">
      <alignment vertical="center"/>
    </xf>
    <xf numFmtId="0" fontId="16" fillId="12" borderId="0" xfId="0" applyFont="1" applyFill="1" applyAlignment="1">
      <alignment vertical="center" wrapText="1"/>
    </xf>
    <xf numFmtId="0" fontId="16" fillId="12" borderId="0" xfId="0" applyFont="1" applyFill="1" applyAlignment="1">
      <alignment vertical="center"/>
    </xf>
    <xf numFmtId="0" fontId="24" fillId="15" borderId="0" xfId="0" applyFont="1" applyFill="1" applyAlignment="1">
      <alignment vertical="center"/>
    </xf>
    <xf numFmtId="0" fontId="24" fillId="16" borderId="0" xfId="0" applyFont="1" applyFill="1" applyAlignment="1">
      <alignment vertical="center"/>
    </xf>
    <xf numFmtId="0" fontId="24" fillId="17" borderId="0" xfId="0" applyFont="1" applyFill="1" applyAlignment="1">
      <alignment vertical="center"/>
    </xf>
    <xf numFmtId="0" fontId="29" fillId="18" borderId="5" xfId="0" applyFont="1" applyFill="1" applyBorder="1" applyAlignment="1">
      <alignment vertical="center"/>
    </xf>
    <xf numFmtId="0" fontId="30" fillId="18" borderId="3" xfId="0" applyFont="1" applyFill="1" applyBorder="1" applyAlignment="1">
      <alignment vertical="center"/>
    </xf>
    <xf numFmtId="0" fontId="30" fillId="18" borderId="8" xfId="0" applyFont="1" applyFill="1" applyBorder="1" applyAlignment="1">
      <alignment vertical="center"/>
    </xf>
    <xf numFmtId="164" fontId="31" fillId="18" borderId="7" xfId="0" applyNumberFormat="1" applyFont="1" applyFill="1" applyBorder="1" applyAlignment="1">
      <alignment horizontal="center" vertical="center"/>
    </xf>
    <xf numFmtId="0" fontId="29" fillId="18" borderId="4" xfId="0" applyFont="1" applyFill="1" applyBorder="1" applyAlignment="1">
      <alignment vertical="center"/>
    </xf>
    <xf numFmtId="0" fontId="29" fillId="18" borderId="10" xfId="0" applyFont="1" applyFill="1" applyBorder="1" applyAlignment="1">
      <alignment vertical="center"/>
    </xf>
    <xf numFmtId="0" fontId="24" fillId="18" borderId="5" xfId="0" applyFont="1" applyFill="1" applyBorder="1" applyAlignment="1">
      <alignment vertical="center"/>
    </xf>
    <xf numFmtId="0" fontId="25" fillId="18" borderId="3" xfId="0" applyFont="1" applyFill="1" applyBorder="1" applyAlignment="1">
      <alignment vertical="center"/>
    </xf>
    <xf numFmtId="0" fontId="18" fillId="18" borderId="7" xfId="0" applyFont="1" applyFill="1" applyBorder="1" applyAlignment="1">
      <alignment horizontal="center" vertical="center"/>
    </xf>
    <xf numFmtId="0" fontId="17" fillId="18" borderId="4" xfId="0" applyFont="1" applyFill="1" applyBorder="1" applyAlignment="1">
      <alignment vertical="center"/>
    </xf>
    <xf numFmtId="0" fontId="26" fillId="18" borderId="5" xfId="0" applyFont="1" applyFill="1" applyBorder="1" applyAlignment="1">
      <alignment vertical="center"/>
    </xf>
    <xf numFmtId="0" fontId="27" fillId="18" borderId="3" xfId="0" applyFont="1" applyFill="1" applyBorder="1" applyAlignment="1">
      <alignment vertical="center"/>
    </xf>
    <xf numFmtId="0" fontId="28" fillId="18" borderId="7" xfId="0" applyFont="1" applyFill="1" applyBorder="1" applyAlignment="1">
      <alignment horizontal="center" vertical="center"/>
    </xf>
    <xf numFmtId="0" fontId="26" fillId="18" borderId="4" xfId="0" applyFont="1" applyFill="1" applyBorder="1" applyAlignment="1">
      <alignment vertical="center"/>
    </xf>
  </cellXfs>
  <cellStyles count="2">
    <cellStyle name="Normal" xfId="0" builtinId="0"/>
    <cellStyle name="Percent" xfId="1" builtinId="5"/>
  </cellStyles>
  <dxfs count="33">
    <dxf>
      <font>
        <color rgb="FFC00000"/>
      </font>
      <fill>
        <patternFill patternType="solid">
          <fgColor indexed="64"/>
          <bgColor rgb="FFFDE9E7"/>
        </patternFill>
      </fill>
    </dxf>
    <dxf>
      <font>
        <b/>
        <i val="0"/>
        <strike val="0"/>
        <condense val="0"/>
        <extend val="0"/>
        <outline val="0"/>
        <shadow val="0"/>
        <u val="none"/>
        <vertAlign val="baseline"/>
        <sz val="11"/>
        <color rgb="FF262626"/>
        <name val="Calibri"/>
        <family val="2"/>
        <scheme val="minor"/>
      </font>
      <numFmt numFmtId="13" formatCode="0%"/>
      <fill>
        <patternFill patternType="solid">
          <fgColor indexed="64"/>
          <bgColor rgb="FFFFFFFF"/>
        </patternFill>
      </fill>
    </dxf>
    <dxf>
      <font>
        <color rgb="FF262626"/>
      </font>
      <numFmt numFmtId="166" formatCode="0.0%"/>
      <fill>
        <patternFill patternType="solid">
          <fgColor indexed="64"/>
          <bgColor rgb="FFFFFFFF"/>
        </patternFill>
      </fill>
      <alignment horizontal="center" vertical="bottom" textRotation="0" wrapText="0" indent="0" justifyLastLine="0" shrinkToFit="0" readingOrder="0"/>
    </dxf>
    <dxf>
      <font>
        <b/>
        <color rgb="FF262626"/>
      </font>
      <fill>
        <patternFill patternType="solid">
          <fgColor indexed="64"/>
          <bgColor rgb="FFFFFFFF"/>
        </patternFill>
      </fill>
    </dxf>
    <dxf>
      <font>
        <color rgb="FF262626"/>
      </font>
      <numFmt numFmtId="3" formatCode="#,##0"/>
      <fill>
        <patternFill patternType="solid">
          <fgColor indexed="64"/>
          <bgColor rgb="FFFFFFFF"/>
        </patternFill>
      </fill>
      <alignment horizontal="center" vertical="bottom" textRotation="0" wrapText="0" indent="0" justifyLastLine="0" shrinkToFit="0" readingOrder="0"/>
    </dxf>
    <dxf>
      <font>
        <b/>
        <color rgb="FF262626"/>
      </font>
      <numFmt numFmtId="1" formatCode="0"/>
      <fill>
        <patternFill patternType="solid">
          <fgColor indexed="64"/>
          <bgColor rgb="FFFFFFFF"/>
        </patternFill>
      </fill>
      <alignment horizontal="center" vertical="bottom" textRotation="0" wrapText="0" indent="0" justifyLastLine="0" shrinkToFit="0" readingOrder="0"/>
    </dxf>
    <dxf>
      <font>
        <color rgb="FF262626"/>
      </font>
      <numFmt numFmtId="3" formatCode="#,##0"/>
      <fill>
        <patternFill patternType="solid">
          <fgColor indexed="64"/>
          <bgColor rgb="FFFFFFFF"/>
        </patternFill>
      </fill>
      <alignment horizontal="center" vertical="bottom" textRotation="0" wrapText="0" indent="0" justifyLastLine="0" shrinkToFit="0" readingOrder="0"/>
    </dxf>
    <dxf>
      <font>
        <b/>
        <color rgb="FF262626"/>
      </font>
      <fill>
        <patternFill patternType="solid">
          <fgColor indexed="64"/>
          <bgColor rgb="FFFFFFFF"/>
        </patternFill>
      </fill>
      <alignment horizontal="center" vertical="bottom" textRotation="0" wrapText="0" indent="0" justifyLastLine="0" shrinkToFit="0" readingOrder="0"/>
    </dxf>
    <dxf>
      <font>
        <color rgb="FF262626"/>
      </font>
      <fill>
        <patternFill patternType="solid">
          <fgColor indexed="64"/>
          <bgColor rgb="FFFFFFFF"/>
        </patternFill>
      </fill>
      <alignment horizontal="center" vertical="bottom" textRotation="0" wrapText="0" indent="0" justifyLastLine="0" shrinkToFit="0" readingOrder="0"/>
    </dxf>
    <dxf>
      <font>
        <b/>
        <color rgb="FF262626"/>
      </font>
      <fill>
        <patternFill patternType="solid">
          <fgColor indexed="64"/>
          <bgColor rgb="FFFFFFFF"/>
        </patternFill>
      </fill>
      <alignment horizontal="center" vertical="bottom" textRotation="0" wrapText="0" indent="0" justifyLastLine="0" shrinkToFit="0" readingOrder="0"/>
    </dxf>
    <dxf>
      <font>
        <color rgb="FF262626"/>
      </font>
      <fill>
        <patternFill patternType="solid">
          <fgColor indexed="64"/>
          <bgColor rgb="FFFFFFFF"/>
        </patternFill>
      </fill>
      <alignment horizontal="center" vertical="bottom" textRotation="0" wrapText="0" indent="0" justifyLastLine="0" shrinkToFit="0" readingOrder="0"/>
    </dxf>
    <dxf>
      <font>
        <b/>
        <color rgb="FF262626"/>
      </font>
      <fill>
        <patternFill patternType="solid">
          <fgColor indexed="64"/>
          <bgColor rgb="FFFFFFFF"/>
        </patternFill>
      </fill>
      <alignment horizontal="center" vertical="bottom" textRotation="0" wrapText="0" indent="0" justifyLastLine="0" shrinkToFit="0" readingOrder="0"/>
    </dxf>
    <dxf>
      <font>
        <color rgb="FF262626"/>
      </font>
      <numFmt numFmtId="3" formatCode="#,##0"/>
      <fill>
        <patternFill patternType="solid">
          <fgColor indexed="64"/>
          <bgColor rgb="FFFFFFFF"/>
        </patternFill>
      </fill>
      <alignment horizontal="center" vertical="bottom" textRotation="0" wrapText="0" indent="0" justifyLastLine="0" shrinkToFit="0" readingOrder="0"/>
    </dxf>
    <dxf>
      <font>
        <b/>
        <color rgb="FF262626"/>
      </font>
      <fill>
        <patternFill patternType="solid">
          <fgColor indexed="64"/>
          <bgColor rgb="FFFFFFFF"/>
        </patternFill>
      </fill>
      <alignment horizontal="center" vertical="bottom" textRotation="0" wrapText="0" indent="0" justifyLastLine="0" shrinkToFit="0" readingOrder="0"/>
    </dxf>
    <dxf>
      <font>
        <color rgb="FF262626"/>
      </font>
      <numFmt numFmtId="3" formatCode="#,##0"/>
      <fill>
        <patternFill patternType="solid">
          <fgColor indexed="64"/>
          <bgColor rgb="FFFFFFFF"/>
        </patternFill>
      </fill>
      <alignment horizontal="center" vertical="bottom" textRotation="0" wrapText="0" indent="0" justifyLastLine="0" shrinkToFit="0" readingOrder="0"/>
    </dxf>
    <dxf>
      <font>
        <b/>
        <color rgb="FF262626"/>
      </font>
      <fill>
        <patternFill patternType="solid">
          <fgColor indexed="64"/>
          <bgColor rgb="FFFFFFFF"/>
        </patternFill>
      </fill>
      <alignment horizontal="center" vertical="bottom" textRotation="0" wrapText="0" indent="0" justifyLastLine="0" shrinkToFit="0" readingOrder="0"/>
    </dxf>
    <dxf>
      <font>
        <color rgb="FF262626"/>
      </font>
      <numFmt numFmtId="3" formatCode="#,##0"/>
      <fill>
        <patternFill patternType="solid">
          <fgColor indexed="64"/>
          <bgColor rgb="FFFFFFFF"/>
        </patternFill>
      </fill>
      <alignment horizontal="center" vertical="bottom" textRotation="0" wrapText="0" indent="0" justifyLastLine="0" shrinkToFit="0" readingOrder="0"/>
    </dxf>
    <dxf>
      <font>
        <b/>
        <color rgb="FF262626"/>
      </font>
      <fill>
        <patternFill patternType="solid">
          <fgColor indexed="64"/>
          <bgColor rgb="FFFFFFFF"/>
        </patternFill>
      </fill>
      <alignment horizontal="center" vertical="bottom" textRotation="0" wrapText="0" indent="0" justifyLastLine="0" shrinkToFit="0" readingOrder="0"/>
    </dxf>
    <dxf>
      <font>
        <color rgb="FF262626"/>
      </font>
      <fill>
        <patternFill patternType="solid">
          <fgColor indexed="64"/>
          <bgColor rgb="FFFFFFFF"/>
        </patternFill>
      </fill>
      <alignment horizontal="center" vertical="bottom" textRotation="0" wrapText="0" indent="0" justifyLastLine="0" shrinkToFit="0" readingOrder="0"/>
    </dxf>
    <dxf>
      <font>
        <b/>
        <color rgb="FF262626"/>
      </font>
      <fill>
        <patternFill patternType="solid">
          <fgColor indexed="64"/>
          <bgColor rgb="FFFFFFFF"/>
        </patternFill>
      </fill>
      <alignment horizontal="center" vertical="bottom" textRotation="0" wrapText="0" indent="0" justifyLastLine="0" shrinkToFit="0" readingOrder="0"/>
    </dxf>
    <dxf>
      <font>
        <color rgb="FF262626"/>
      </font>
      <fill>
        <patternFill patternType="solid">
          <fgColor indexed="64"/>
          <bgColor rgb="FFFFFFFF"/>
        </patternFill>
      </fill>
      <alignment horizontal="center" vertical="bottom" textRotation="0" wrapText="0" indent="0" justifyLastLine="0" shrinkToFit="0" readingOrder="0"/>
    </dxf>
    <dxf>
      <font>
        <b/>
        <color rgb="FF262626"/>
      </font>
      <fill>
        <patternFill patternType="solid">
          <fgColor indexed="64"/>
          <bgColor rgb="FFFFFFFF"/>
        </patternFill>
      </fill>
      <alignment horizontal="center" vertical="bottom" textRotation="0" wrapText="0" indent="0" justifyLastLine="0" shrinkToFit="0" readingOrder="0"/>
    </dxf>
    <dxf>
      <font>
        <color rgb="FF262626"/>
      </font>
      <fill>
        <patternFill patternType="solid">
          <fgColor indexed="64"/>
          <bgColor rgb="FFFFFFFF"/>
        </patternFill>
      </fill>
      <alignment horizontal="center" vertical="bottom" textRotation="0" wrapText="0" indent="0" justifyLastLine="0" shrinkToFit="0" readingOrder="0"/>
    </dxf>
    <dxf>
      <font>
        <b/>
        <color rgb="FF262626"/>
      </font>
      <numFmt numFmtId="164" formatCode="dd\-mm\-yyyy"/>
      <fill>
        <patternFill patternType="solid">
          <fgColor indexed="64"/>
          <bgColor rgb="FFFFFFFF"/>
        </patternFill>
      </fill>
      <alignment horizontal="center" vertical="bottom" textRotation="0" wrapText="0" indent="0" justifyLastLine="0" shrinkToFit="0" readingOrder="0"/>
    </dxf>
    <dxf>
      <font>
        <color rgb="FF262626"/>
      </font>
      <numFmt numFmtId="164" formatCode="dd\-mm\-yyyy"/>
      <fill>
        <patternFill patternType="solid">
          <fgColor indexed="64"/>
          <bgColor rgb="FFFFFFFF"/>
        </patternFill>
      </fill>
      <alignment horizontal="center" vertical="bottom" textRotation="0" wrapText="0" indent="0" justifyLastLine="0" shrinkToFit="0" readingOrder="0"/>
    </dxf>
    <dxf>
      <font>
        <b/>
        <color rgb="FF262626"/>
      </font>
      <fill>
        <patternFill patternType="solid">
          <fgColor indexed="64"/>
          <bgColor rgb="FFFFFFFF"/>
        </patternFill>
      </fill>
      <alignment horizontal="center" vertical="bottom" textRotation="0" wrapText="0" indent="0" justifyLastLine="0" shrinkToFit="0" readingOrder="0"/>
    </dxf>
    <dxf>
      <font>
        <color rgb="FF262626"/>
      </font>
      <fill>
        <patternFill patternType="solid">
          <fgColor indexed="64"/>
          <bgColor rgb="FFFFFFFF"/>
        </patternFill>
      </fill>
      <alignment horizontal="center" vertical="bottom" textRotation="0" wrapText="0" indent="0" justifyLastLine="0" shrinkToFit="0" readingOrder="0"/>
    </dxf>
    <dxf>
      <border>
        <top style="medium">
          <color rgb="FF001F43"/>
        </top>
      </border>
    </dxf>
    <dxf>
      <font>
        <b/>
        <color rgb="FF262626"/>
      </font>
      <fill>
        <patternFill patternType="solid">
          <fgColor indexed="64"/>
          <bgColor rgb="FFFFFFFF"/>
        </patternFill>
      </fill>
    </dxf>
    <dxf>
      <border diagonalUp="0" diagonalDown="0">
        <left style="thin">
          <color rgb="FFD9D9D9"/>
        </left>
        <right style="thin">
          <color rgb="FFD9D9D9"/>
        </right>
        <top style="thin">
          <color rgb="FFD9D9D9"/>
        </top>
        <bottom style="thin">
          <color rgb="FFD9D9D9"/>
        </bottom>
      </border>
    </dxf>
    <dxf>
      <font>
        <color rgb="FF262626"/>
      </font>
      <fill>
        <patternFill patternType="solid">
          <fgColor indexed="64"/>
          <bgColor rgb="FFFFFFFF"/>
        </patternFill>
      </fill>
      <alignment horizontal="center" vertical="bottom" textRotation="0" wrapText="0" indent="0" justifyLastLine="0" shrinkToFit="0" readingOrder="0"/>
    </dxf>
    <dxf>
      <border>
        <bottom style="medium">
          <color rgb="FF001F43"/>
        </bottom>
      </border>
    </dxf>
    <dxf>
      <font>
        <b/>
        <i val="0"/>
        <strike val="0"/>
        <condense val="0"/>
        <extend val="0"/>
        <outline val="0"/>
        <shadow val="0"/>
        <u val="none"/>
        <vertAlign val="baseline"/>
        <sz val="11"/>
        <color rgb="FF001F43"/>
        <name val="Aptos"/>
        <scheme val="none"/>
      </font>
      <fill>
        <patternFill patternType="solid">
          <fgColor indexed="64"/>
          <bgColor rgb="FFF2F6FF"/>
        </patternFill>
      </fill>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Revenue and Profit by Category</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585801357468047"/>
          <c:y val="0.15379901960784315"/>
          <c:w val="0.75956624996165967"/>
          <c:h val="0.58362571406515362"/>
        </c:manualLayout>
      </c:layout>
      <c:barChart>
        <c:barDir val="bar"/>
        <c:grouping val="clustered"/>
        <c:varyColors val="0"/>
        <c:ser>
          <c:idx val="0"/>
          <c:order val="0"/>
          <c:tx>
            <c:strRef>
              <c:f>'Sales Dashboard'!$T$2</c:f>
              <c:strCache>
                <c:ptCount val="1"/>
              </c:strCache>
            </c:strRef>
          </c:tx>
          <c:spPr>
            <a:solidFill>
              <a:schemeClr val="accent1"/>
            </a:solidFill>
            <a:ln>
              <a:noFill/>
            </a:ln>
            <a:effectLst/>
          </c:spPr>
          <c:invertIfNegative val="0"/>
          <c:cat>
            <c:strRef>
              <c:f>'Chart Support'!$A$2:$A$7</c:f>
              <c:strCache>
                <c:ptCount val="6"/>
                <c:pt idx="0">
                  <c:v>Appliances</c:v>
                </c:pt>
                <c:pt idx="1">
                  <c:v>Electronics</c:v>
                </c:pt>
                <c:pt idx="2">
                  <c:v>Fashion</c:v>
                </c:pt>
                <c:pt idx="3">
                  <c:v>Furniture</c:v>
                </c:pt>
                <c:pt idx="4">
                  <c:v>Home Decor</c:v>
                </c:pt>
                <c:pt idx="5">
                  <c:v>Stationery</c:v>
                </c:pt>
              </c:strCache>
            </c:strRef>
          </c:cat>
          <c:val>
            <c:numRef>
              <c:f>'Chart Support'!$B$2:$B$7</c:f>
              <c:numCache>
                <c:formatCode>#,##0</c:formatCode>
                <c:ptCount val="6"/>
                <c:pt idx="0">
                  <c:v>1487481</c:v>
                </c:pt>
                <c:pt idx="1">
                  <c:v>3781585</c:v>
                </c:pt>
                <c:pt idx="2">
                  <c:v>323987</c:v>
                </c:pt>
                <c:pt idx="3">
                  <c:v>1153114</c:v>
                </c:pt>
                <c:pt idx="4">
                  <c:v>111090</c:v>
                </c:pt>
                <c:pt idx="5">
                  <c:v>62310</c:v>
                </c:pt>
              </c:numCache>
            </c:numRef>
          </c:val>
          <c:extLst>
            <c:ext xmlns:c16="http://schemas.microsoft.com/office/drawing/2014/chart" uri="{C3380CC4-5D6E-409C-BE32-E72D297353CC}">
              <c16:uniqueId val="{00000000-8136-4FFF-8EBA-85797615C64C}"/>
            </c:ext>
          </c:extLst>
        </c:ser>
        <c:ser>
          <c:idx val="1"/>
          <c:order val="1"/>
          <c:tx>
            <c:strRef>
              <c:f>'Sales Dashboard'!$U$2</c:f>
              <c:strCache>
                <c:ptCount val="1"/>
              </c:strCache>
            </c:strRef>
          </c:tx>
          <c:spPr>
            <a:solidFill>
              <a:schemeClr val="accent2"/>
            </a:solidFill>
            <a:ln>
              <a:noFill/>
            </a:ln>
            <a:effectLst/>
          </c:spPr>
          <c:invertIfNegative val="0"/>
          <c:cat>
            <c:strRef>
              <c:f>'Chart Support'!$A$2:$A$7</c:f>
              <c:strCache>
                <c:ptCount val="6"/>
                <c:pt idx="0">
                  <c:v>Appliances</c:v>
                </c:pt>
                <c:pt idx="1">
                  <c:v>Electronics</c:v>
                </c:pt>
                <c:pt idx="2">
                  <c:v>Fashion</c:v>
                </c:pt>
                <c:pt idx="3">
                  <c:v>Furniture</c:v>
                </c:pt>
                <c:pt idx="4">
                  <c:v>Home Decor</c:v>
                </c:pt>
                <c:pt idx="5">
                  <c:v>Stationery</c:v>
                </c:pt>
              </c:strCache>
            </c:strRef>
          </c:cat>
          <c:val>
            <c:numRef>
              <c:f>'Chart Support'!$C$2:$C$7</c:f>
              <c:numCache>
                <c:formatCode>#,##0</c:formatCode>
                <c:ptCount val="6"/>
                <c:pt idx="0">
                  <c:v>345981</c:v>
                </c:pt>
                <c:pt idx="1">
                  <c:v>807385</c:v>
                </c:pt>
                <c:pt idx="2">
                  <c:v>151787</c:v>
                </c:pt>
                <c:pt idx="3">
                  <c:v>339514</c:v>
                </c:pt>
                <c:pt idx="4">
                  <c:v>53650</c:v>
                </c:pt>
                <c:pt idx="5">
                  <c:v>33870</c:v>
                </c:pt>
              </c:numCache>
            </c:numRef>
          </c:val>
          <c:extLst>
            <c:ext xmlns:c16="http://schemas.microsoft.com/office/drawing/2014/chart" uri="{C3380CC4-5D6E-409C-BE32-E72D297353CC}">
              <c16:uniqueId val="{00000001-8136-4FFF-8EBA-85797615C64C}"/>
            </c:ext>
          </c:extLst>
        </c:ser>
        <c:dLbls>
          <c:showLegendKey val="0"/>
          <c:showVal val="0"/>
          <c:showCatName val="0"/>
          <c:showSerName val="0"/>
          <c:showPercent val="0"/>
          <c:showBubbleSize val="0"/>
        </c:dLbls>
        <c:gapWidth val="182"/>
        <c:axId val="1103793567"/>
        <c:axId val="860483279"/>
      </c:barChart>
      <c:catAx>
        <c:axId val="1103793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483279"/>
        <c:crosses val="autoZero"/>
        <c:auto val="1"/>
        <c:lblAlgn val="ctr"/>
        <c:lblOffset val="100"/>
        <c:noMultiLvlLbl val="0"/>
      </c:catAx>
      <c:valAx>
        <c:axId val="86048327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793567"/>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E2F3"/>
      </a:solidFill>
      <a:prstDash val="solid"/>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Revenue and Profit by Region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'Sales Dashboard'!$X$2</c:f>
              <c:strCache>
                <c:ptCount val="1"/>
              </c:strCache>
            </c:strRef>
          </c:tx>
          <c:spPr>
            <a:solidFill>
              <a:schemeClr val="accent1"/>
            </a:solidFill>
            <a:ln>
              <a:noFill/>
            </a:ln>
            <a:effectLst/>
          </c:spPr>
          <c:invertIfNegative val="0"/>
          <c:cat>
            <c:strRef>
              <c:f>'Chart Support'!$E$2:$E$6</c:f>
              <c:strCache>
                <c:ptCount val="5"/>
                <c:pt idx="0">
                  <c:v>Central</c:v>
                </c:pt>
                <c:pt idx="1">
                  <c:v>East</c:v>
                </c:pt>
                <c:pt idx="2">
                  <c:v>North</c:v>
                </c:pt>
                <c:pt idx="3">
                  <c:v>South</c:v>
                </c:pt>
                <c:pt idx="4">
                  <c:v>West</c:v>
                </c:pt>
              </c:strCache>
            </c:strRef>
          </c:cat>
          <c:val>
            <c:numRef>
              <c:f>'Chart Support'!$F$2:$F$6</c:f>
              <c:numCache>
                <c:formatCode>#,##0</c:formatCode>
                <c:ptCount val="5"/>
                <c:pt idx="0">
                  <c:v>1103498</c:v>
                </c:pt>
                <c:pt idx="1">
                  <c:v>1001390</c:v>
                </c:pt>
                <c:pt idx="2">
                  <c:v>1897406</c:v>
                </c:pt>
                <c:pt idx="3">
                  <c:v>2111436</c:v>
                </c:pt>
                <c:pt idx="4">
                  <c:v>805837</c:v>
                </c:pt>
              </c:numCache>
            </c:numRef>
          </c:val>
          <c:extLst>
            <c:ext xmlns:c16="http://schemas.microsoft.com/office/drawing/2014/chart" uri="{C3380CC4-5D6E-409C-BE32-E72D297353CC}">
              <c16:uniqueId val="{00000000-ADF9-4381-8EF2-016C3897837C}"/>
            </c:ext>
          </c:extLst>
        </c:ser>
        <c:ser>
          <c:idx val="1"/>
          <c:order val="1"/>
          <c:tx>
            <c:strRef>
              <c:f>'Sales Dashboard'!$Y$2</c:f>
              <c:strCache>
                <c:ptCount val="1"/>
              </c:strCache>
            </c:strRef>
          </c:tx>
          <c:spPr>
            <a:solidFill>
              <a:schemeClr val="accent2"/>
            </a:solidFill>
            <a:ln>
              <a:noFill/>
            </a:ln>
            <a:effectLst/>
          </c:spPr>
          <c:invertIfNegative val="0"/>
          <c:cat>
            <c:strRef>
              <c:f>'Chart Support'!$E$2:$E$6</c:f>
              <c:strCache>
                <c:ptCount val="5"/>
                <c:pt idx="0">
                  <c:v>Central</c:v>
                </c:pt>
                <c:pt idx="1">
                  <c:v>East</c:v>
                </c:pt>
                <c:pt idx="2">
                  <c:v>North</c:v>
                </c:pt>
                <c:pt idx="3">
                  <c:v>South</c:v>
                </c:pt>
                <c:pt idx="4">
                  <c:v>West</c:v>
                </c:pt>
              </c:strCache>
            </c:strRef>
          </c:cat>
          <c:val>
            <c:numRef>
              <c:f>'Chart Support'!$G$2:$G$6</c:f>
              <c:numCache>
                <c:formatCode>#,##0</c:formatCode>
                <c:ptCount val="5"/>
                <c:pt idx="0">
                  <c:v>298538</c:v>
                </c:pt>
                <c:pt idx="1">
                  <c:v>271660</c:v>
                </c:pt>
                <c:pt idx="2">
                  <c:v>469016</c:v>
                </c:pt>
                <c:pt idx="3">
                  <c:v>482246</c:v>
                </c:pt>
                <c:pt idx="4">
                  <c:v>210727</c:v>
                </c:pt>
              </c:numCache>
            </c:numRef>
          </c:val>
          <c:extLst>
            <c:ext xmlns:c16="http://schemas.microsoft.com/office/drawing/2014/chart" uri="{C3380CC4-5D6E-409C-BE32-E72D297353CC}">
              <c16:uniqueId val="{00000001-ADF9-4381-8EF2-016C3897837C}"/>
            </c:ext>
          </c:extLst>
        </c:ser>
        <c:dLbls>
          <c:showLegendKey val="0"/>
          <c:showVal val="0"/>
          <c:showCatName val="0"/>
          <c:showSerName val="0"/>
          <c:showPercent val="0"/>
          <c:showBubbleSize val="0"/>
        </c:dLbls>
        <c:gapWidth val="219"/>
        <c:overlap val="-27"/>
        <c:axId val="1103607039"/>
        <c:axId val="860555759"/>
      </c:barChart>
      <c:catAx>
        <c:axId val="110360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555759"/>
        <c:crosses val="autoZero"/>
        <c:auto val="1"/>
        <c:lblAlgn val="ctr"/>
        <c:lblOffset val="100"/>
        <c:noMultiLvlLbl val="0"/>
      </c:catAx>
      <c:valAx>
        <c:axId val="8605557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607039"/>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E2F3"/>
      </a:solidFill>
      <a:prstDash val="solid"/>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Average Margin by Category</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864042871101878"/>
          <c:y val="0.1374591503267974"/>
          <c:w val="0.76961076860384103"/>
          <c:h val="0.76369171684421799"/>
        </c:manualLayout>
      </c:layout>
      <c:barChart>
        <c:barDir val="bar"/>
        <c:grouping val="clustered"/>
        <c:varyColors val="0"/>
        <c:ser>
          <c:idx val="0"/>
          <c:order val="0"/>
          <c:tx>
            <c:strRef>
              <c:f>'Sales Dashboard'!$T$12</c:f>
              <c:strCache>
                <c:ptCount val="1"/>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Support'!$A$12:$A$17</c:f>
              <c:strCache>
                <c:ptCount val="6"/>
                <c:pt idx="0">
                  <c:v>Appliances</c:v>
                </c:pt>
                <c:pt idx="1">
                  <c:v>Electronics</c:v>
                </c:pt>
                <c:pt idx="2">
                  <c:v>Fashion</c:v>
                </c:pt>
                <c:pt idx="3">
                  <c:v>Furniture</c:v>
                </c:pt>
                <c:pt idx="4">
                  <c:v>Home Decor</c:v>
                </c:pt>
                <c:pt idx="5">
                  <c:v>Stationery</c:v>
                </c:pt>
              </c:strCache>
            </c:strRef>
          </c:cat>
          <c:val>
            <c:numRef>
              <c:f>'Chart Support'!$B$12:$B$17</c:f>
              <c:numCache>
                <c:formatCode>0.0%</c:formatCode>
                <c:ptCount val="6"/>
                <c:pt idx="0">
                  <c:v>0.24714807772627592</c:v>
                </c:pt>
                <c:pt idx="1">
                  <c:v>0.29185954926218793</c:v>
                </c:pt>
                <c:pt idx="2">
                  <c:v>0.47938655254895357</c:v>
                </c:pt>
                <c:pt idx="3">
                  <c:v>0.29501902584381984</c:v>
                </c:pt>
                <c:pt idx="4">
                  <c:v>0.40698968819888659</c:v>
                </c:pt>
                <c:pt idx="5">
                  <c:v>0.42790811642278243</c:v>
                </c:pt>
              </c:numCache>
            </c:numRef>
          </c:val>
          <c:extLst>
            <c:ext xmlns:c16="http://schemas.microsoft.com/office/drawing/2014/chart" uri="{C3380CC4-5D6E-409C-BE32-E72D297353CC}">
              <c16:uniqueId val="{00000000-9881-4EBE-8B9D-2293D8D8297C}"/>
            </c:ext>
          </c:extLst>
        </c:ser>
        <c:dLbls>
          <c:showLegendKey val="0"/>
          <c:showVal val="0"/>
          <c:showCatName val="0"/>
          <c:showSerName val="0"/>
          <c:showPercent val="0"/>
          <c:showBubbleSize val="0"/>
        </c:dLbls>
        <c:gapWidth val="182"/>
        <c:axId val="1103604719"/>
        <c:axId val="860488079"/>
      </c:barChart>
      <c:catAx>
        <c:axId val="1103604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488079"/>
        <c:crosses val="autoZero"/>
        <c:auto val="1"/>
        <c:lblAlgn val="ctr"/>
        <c:lblOffset val="100"/>
        <c:noMultiLvlLbl val="0"/>
      </c:catAx>
      <c:valAx>
        <c:axId val="860488079"/>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604719"/>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E2F3"/>
      </a:solidFill>
      <a:prstDash val="solid"/>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Order Count by Region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'Sales Dashboard'!$X$12</c:f>
              <c:strCache>
                <c:ptCount val="1"/>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Support'!$E$12:$E$16</c:f>
              <c:strCache>
                <c:ptCount val="5"/>
                <c:pt idx="0">
                  <c:v>Central</c:v>
                </c:pt>
                <c:pt idx="1">
                  <c:v>East</c:v>
                </c:pt>
                <c:pt idx="2">
                  <c:v>North</c:v>
                </c:pt>
                <c:pt idx="3">
                  <c:v>South</c:v>
                </c:pt>
                <c:pt idx="4">
                  <c:v>West</c:v>
                </c:pt>
              </c:strCache>
            </c:strRef>
          </c:cat>
          <c:val>
            <c:numRef>
              <c:f>'Chart Support'!$F$12:$F$16</c:f>
              <c:numCache>
                <c:formatCode>0</c:formatCode>
                <c:ptCount val="5"/>
                <c:pt idx="0">
                  <c:v>47</c:v>
                </c:pt>
                <c:pt idx="1">
                  <c:v>43</c:v>
                </c:pt>
                <c:pt idx="2">
                  <c:v>79</c:v>
                </c:pt>
                <c:pt idx="3">
                  <c:v>71</c:v>
                </c:pt>
                <c:pt idx="4">
                  <c:v>38</c:v>
                </c:pt>
              </c:numCache>
            </c:numRef>
          </c:val>
          <c:extLst>
            <c:ext xmlns:c16="http://schemas.microsoft.com/office/drawing/2014/chart" uri="{C3380CC4-5D6E-409C-BE32-E72D297353CC}">
              <c16:uniqueId val="{00000000-C759-4274-900B-1C3EE8FE7D0D}"/>
            </c:ext>
          </c:extLst>
        </c:ser>
        <c:dLbls>
          <c:showLegendKey val="0"/>
          <c:showVal val="0"/>
          <c:showCatName val="0"/>
          <c:showSerName val="0"/>
          <c:showPercent val="0"/>
          <c:showBubbleSize val="0"/>
        </c:dLbls>
        <c:gapWidth val="182"/>
        <c:axId val="1103755519"/>
        <c:axId val="860582639"/>
      </c:barChart>
      <c:catAx>
        <c:axId val="1103755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582639"/>
        <c:crosses val="autoZero"/>
        <c:auto val="1"/>
        <c:lblAlgn val="ctr"/>
        <c:lblOffset val="100"/>
        <c:noMultiLvlLbl val="0"/>
      </c:catAx>
      <c:valAx>
        <c:axId val="86058263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755519"/>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E2F3"/>
      </a:solidFill>
      <a:prstDash val="solid"/>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18</xdr:row>
      <xdr:rowOff>0</xdr:rowOff>
    </xdr:from>
    <xdr:to>
      <xdr:col>6</xdr:col>
      <xdr:colOff>0</xdr:colOff>
      <xdr:row>29</xdr:row>
      <xdr:rowOff>0</xdr:rowOff>
    </xdr:to>
    <xdr:graphicFrame macro="">
      <xdr:nvGraphicFramePr>
        <xdr:cNvPr id="8" name="chCategoryPerformance" descr="Clustered horizontal bar chart comparing revenue and profit across six product categories." title="Category performance">
          <a:extLst>
            <a:ext uri="{FF2B5EF4-FFF2-40B4-BE49-F238E27FC236}">
              <a16:creationId xmlns:a16="http://schemas.microsoft.com/office/drawing/2014/main" id="{C49E8A04-350E-D39A-C5D5-74307266D0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18</xdr:row>
      <xdr:rowOff>0</xdr:rowOff>
    </xdr:from>
    <xdr:to>
      <xdr:col>12</xdr:col>
      <xdr:colOff>0</xdr:colOff>
      <xdr:row>29</xdr:row>
      <xdr:rowOff>0</xdr:rowOff>
    </xdr:to>
    <xdr:graphicFrame macro="">
      <xdr:nvGraphicFramePr>
        <xdr:cNvPr id="9" name="chRegionalPerformance" descr="Clustered column chart comparing revenue and profit across the current region labels." title="Regional performance">
          <a:extLst>
            <a:ext uri="{FF2B5EF4-FFF2-40B4-BE49-F238E27FC236}">
              <a16:creationId xmlns:a16="http://schemas.microsoft.com/office/drawing/2014/main" id="{ADB570D0-AF93-AA17-B3B6-1BCCAED00E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30</xdr:row>
      <xdr:rowOff>0</xdr:rowOff>
    </xdr:from>
    <xdr:to>
      <xdr:col>6</xdr:col>
      <xdr:colOff>0</xdr:colOff>
      <xdr:row>41</xdr:row>
      <xdr:rowOff>0</xdr:rowOff>
    </xdr:to>
    <xdr:graphicFrame macro="">
      <xdr:nvGraphicFramePr>
        <xdr:cNvPr id="10" name="chCategoryMargin" descr="Horizontal bar chart showing average margin percentage by product category." title="Category margin">
          <a:extLst>
            <a:ext uri="{FF2B5EF4-FFF2-40B4-BE49-F238E27FC236}">
              <a16:creationId xmlns:a16="http://schemas.microsoft.com/office/drawing/2014/main" id="{5118435E-6454-1329-6622-40E8B4085F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30</xdr:row>
      <xdr:rowOff>0</xdr:rowOff>
    </xdr:from>
    <xdr:to>
      <xdr:col>12</xdr:col>
      <xdr:colOff>0</xdr:colOff>
      <xdr:row>41</xdr:row>
      <xdr:rowOff>0</xdr:rowOff>
    </xdr:to>
    <xdr:graphicFrame macro="">
      <xdr:nvGraphicFramePr>
        <xdr:cNvPr id="11" name="chRegionalOrders" descr="Horizontal bar chart showing order count across the current region labels." title="Regional order count">
          <a:extLst>
            <a:ext uri="{FF2B5EF4-FFF2-40B4-BE49-F238E27FC236}">
              <a16:creationId xmlns:a16="http://schemas.microsoft.com/office/drawing/2014/main" id="{C5B2CA66-1796-27E4-5AD1-55ACAC941E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586740</xdr:colOff>
      <xdr:row>15</xdr:row>
      <xdr:rowOff>0</xdr:rowOff>
    </xdr:from>
    <xdr:to>
      <xdr:col>14</xdr:col>
      <xdr:colOff>472440</xdr:colOff>
      <xdr:row>25</xdr:row>
      <xdr:rowOff>38100</xdr:rowOff>
    </xdr:to>
    <mc:AlternateContent xmlns:mc="http://schemas.openxmlformats.org/markup-compatibility/2006" xmlns:a14="http://schemas.microsoft.com/office/drawing/2010/main">
      <mc:Choice Requires="a14">
        <xdr:graphicFrame macro="">
          <xdr:nvGraphicFramePr>
            <xdr:cNvPr id="2" name="slDashCatStatus">
              <a:extLst>
                <a:ext uri="{FF2B5EF4-FFF2-40B4-BE49-F238E27FC236}">
                  <a16:creationId xmlns:a16="http://schemas.microsoft.com/office/drawing/2014/main" id="{663F1237-0E03-7340-241D-61DA270ECF97}"/>
                </a:ext>
              </a:extLst>
            </xdr:cNvPr>
            <xdr:cNvGraphicFramePr/>
          </xdr:nvGraphicFramePr>
          <xdr:xfrm>
            <a:off x="0" y="0"/>
            <a:ext cx="0" cy="0"/>
          </xdr:xfrm>
          <a:graphic>
            <a:graphicData uri="http://schemas.microsoft.com/office/drawing/2010/slicer">
              <sle:slicer xmlns:sle="http://schemas.microsoft.com/office/drawing/2010/slicer" name="slDashCatStatus"/>
            </a:graphicData>
          </a:graphic>
        </xdr:graphicFrame>
      </mc:Choice>
      <mc:Fallback xmlns="">
        <xdr:sp macro="" textlink="">
          <xdr:nvSpPr>
            <xdr:cNvPr id="0" name=""/>
            <xdr:cNvSpPr>
              <a:spLocks noTextEdit="1"/>
            </xdr:cNvSpPr>
          </xdr:nvSpPr>
          <xdr:spPr>
            <a:xfrm>
              <a:off x="9921240" y="3474720"/>
              <a:ext cx="1714500"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28</xdr:row>
      <xdr:rowOff>0</xdr:rowOff>
    </xdr:from>
    <xdr:to>
      <xdr:col>14</xdr:col>
      <xdr:colOff>495300</xdr:colOff>
      <xdr:row>38</xdr:row>
      <xdr:rowOff>114300</xdr:rowOff>
    </xdr:to>
    <mc:AlternateContent xmlns:mc="http://schemas.openxmlformats.org/markup-compatibility/2006" xmlns:a14="http://schemas.microsoft.com/office/drawing/2010/main">
      <mc:Choice Requires="a14">
        <xdr:graphicFrame macro="">
          <xdr:nvGraphicFramePr>
            <xdr:cNvPr id="3" name="slDashCatPayment">
              <a:extLst>
                <a:ext uri="{FF2B5EF4-FFF2-40B4-BE49-F238E27FC236}">
                  <a16:creationId xmlns:a16="http://schemas.microsoft.com/office/drawing/2014/main" id="{11319D47-D3AD-5859-1F41-23FF700AAF24}"/>
                </a:ext>
              </a:extLst>
            </xdr:cNvPr>
            <xdr:cNvGraphicFramePr/>
          </xdr:nvGraphicFramePr>
          <xdr:xfrm>
            <a:off x="0" y="0"/>
            <a:ext cx="0" cy="0"/>
          </xdr:xfrm>
          <a:graphic>
            <a:graphicData uri="http://schemas.microsoft.com/office/drawing/2010/slicer">
              <sle:slicer xmlns:sle="http://schemas.microsoft.com/office/drawing/2010/slicer" name="slDashCatPayment"/>
            </a:graphicData>
          </a:graphic>
        </xdr:graphicFrame>
      </mc:Choice>
      <mc:Fallback xmlns="">
        <xdr:sp macro="" textlink="">
          <xdr:nvSpPr>
            <xdr:cNvPr id="0" name=""/>
            <xdr:cNvSpPr>
              <a:spLocks noTextEdit="1"/>
            </xdr:cNvSpPr>
          </xdr:nvSpPr>
          <xdr:spPr>
            <a:xfrm>
              <a:off x="9944100" y="6126480"/>
              <a:ext cx="1714500"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15</xdr:row>
      <xdr:rowOff>0</xdr:rowOff>
    </xdr:from>
    <xdr:to>
      <xdr:col>17</xdr:col>
      <xdr:colOff>495300</xdr:colOff>
      <xdr:row>25</xdr:row>
      <xdr:rowOff>38100</xdr:rowOff>
    </xdr:to>
    <mc:AlternateContent xmlns:mc="http://schemas.openxmlformats.org/markup-compatibility/2006" xmlns:a14="http://schemas.microsoft.com/office/drawing/2010/main">
      <mc:Choice Requires="a14">
        <xdr:graphicFrame macro="">
          <xdr:nvGraphicFramePr>
            <xdr:cNvPr id="4" name="slDashRegStatus">
              <a:extLst>
                <a:ext uri="{FF2B5EF4-FFF2-40B4-BE49-F238E27FC236}">
                  <a16:creationId xmlns:a16="http://schemas.microsoft.com/office/drawing/2014/main" id="{C3A958E0-8D0A-6BC8-1D9C-2CE160EBF12F}"/>
                </a:ext>
              </a:extLst>
            </xdr:cNvPr>
            <xdr:cNvGraphicFramePr/>
          </xdr:nvGraphicFramePr>
          <xdr:xfrm>
            <a:off x="0" y="0"/>
            <a:ext cx="0" cy="0"/>
          </xdr:xfrm>
          <a:graphic>
            <a:graphicData uri="http://schemas.microsoft.com/office/drawing/2010/slicer">
              <sle:slicer xmlns:sle="http://schemas.microsoft.com/office/drawing/2010/slicer" name="slDashRegStatus"/>
            </a:graphicData>
          </a:graphic>
        </xdr:graphicFrame>
      </mc:Choice>
      <mc:Fallback xmlns="">
        <xdr:sp macro="" textlink="">
          <xdr:nvSpPr>
            <xdr:cNvPr id="0" name=""/>
            <xdr:cNvSpPr>
              <a:spLocks noTextEdit="1"/>
            </xdr:cNvSpPr>
          </xdr:nvSpPr>
          <xdr:spPr>
            <a:xfrm>
              <a:off x="11772900" y="3474720"/>
              <a:ext cx="1714500"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28</xdr:row>
      <xdr:rowOff>0</xdr:rowOff>
    </xdr:from>
    <xdr:to>
      <xdr:col>17</xdr:col>
      <xdr:colOff>495300</xdr:colOff>
      <xdr:row>38</xdr:row>
      <xdr:rowOff>114300</xdr:rowOff>
    </xdr:to>
    <mc:AlternateContent xmlns:mc="http://schemas.openxmlformats.org/markup-compatibility/2006" xmlns:a14="http://schemas.microsoft.com/office/drawing/2010/main">
      <mc:Choice Requires="a14">
        <xdr:graphicFrame macro="">
          <xdr:nvGraphicFramePr>
            <xdr:cNvPr id="5" name="slDashRegPayment">
              <a:extLst>
                <a:ext uri="{FF2B5EF4-FFF2-40B4-BE49-F238E27FC236}">
                  <a16:creationId xmlns:a16="http://schemas.microsoft.com/office/drawing/2014/main" id="{CF27665A-754E-5C87-EFF6-8F2D78F70A16}"/>
                </a:ext>
              </a:extLst>
            </xdr:cNvPr>
            <xdr:cNvGraphicFramePr/>
          </xdr:nvGraphicFramePr>
          <xdr:xfrm>
            <a:off x="0" y="0"/>
            <a:ext cx="0" cy="0"/>
          </xdr:xfrm>
          <a:graphic>
            <a:graphicData uri="http://schemas.microsoft.com/office/drawing/2010/slicer">
              <sle:slicer xmlns:sle="http://schemas.microsoft.com/office/drawing/2010/slicer" name="slDashRegPayment"/>
            </a:graphicData>
          </a:graphic>
        </xdr:graphicFrame>
      </mc:Choice>
      <mc:Fallback xmlns="">
        <xdr:sp macro="" textlink="">
          <xdr:nvSpPr>
            <xdr:cNvPr id="0" name=""/>
            <xdr:cNvSpPr>
              <a:spLocks noTextEdit="1"/>
            </xdr:cNvSpPr>
          </xdr:nvSpPr>
          <xdr:spPr>
            <a:xfrm>
              <a:off x="11772900" y="6126480"/>
              <a:ext cx="1714500"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iraj Pisal" refreshedDate="46324.871049652778" createdVersion="8" refreshedVersion="8" minRefreshableVersion="3" recordCount="278" xr:uid="{97C2D337-82EE-4536-9F3F-9FB8CA1BEFF3}">
  <cacheSource type="worksheet">
    <worksheetSource name="Table1"/>
  </cacheSource>
  <cacheFields count="13">
    <cacheField name="Order ID" numFmtId="0">
      <sharedItems/>
    </cacheField>
    <cacheField name="Order Date" numFmtId="164">
      <sharedItems containsSemiMixedTypes="0" containsNonDate="0" containsDate="1" containsString="0" minDate="2025-01-01T00:00:00" maxDate="2025-12-30T00:00:00"/>
    </cacheField>
    <cacheField name="Product Name" numFmtId="0">
      <sharedItems/>
    </cacheField>
    <cacheField name="Category" numFmtId="0">
      <sharedItems count="6">
        <s v="Furniture"/>
        <s v="Fashion"/>
        <s v="Electronics"/>
        <s v="Appliances"/>
        <s v="Home Decor"/>
        <s v="Stationery"/>
      </sharedItems>
    </cacheField>
    <cacheField name="Region" numFmtId="0">
      <sharedItems count="5">
        <s v="Central"/>
        <s v="West"/>
        <s v="South"/>
        <s v="North"/>
        <s v="East"/>
      </sharedItems>
    </cacheField>
    <cacheField name="Quantity" numFmtId="3">
      <sharedItems containsSemiMixedTypes="0" containsString="0" containsNumber="1" containsInteger="1" minValue="1" maxValue="10"/>
    </cacheField>
    <cacheField name="Unit Price" numFmtId="3">
      <sharedItems containsSemiMixedTypes="0" containsString="0" containsNumber="1" containsInteger="1" minValue="49" maxValue="16199"/>
    </cacheField>
    <cacheField name="Cost Price" numFmtId="3">
      <sharedItems containsSemiMixedTypes="0" containsString="0" containsNumber="1" containsInteger="1" minValue="90" maxValue="13500"/>
    </cacheField>
    <cacheField name="Order Status" numFmtId="0">
      <sharedItems count="5">
        <s v="Delivered"/>
        <s v="Cancelled"/>
        <s v="Shipped"/>
        <s v="Returned"/>
        <s v="Processing"/>
      </sharedItems>
    </cacheField>
    <cacheField name="Payment Method" numFmtId="0">
      <sharedItems count="5">
        <s v="Debit Card"/>
        <s v="UPI"/>
        <s v="Net Banking"/>
        <s v="Credit Card"/>
        <s v="Cash"/>
      </sharedItems>
    </cacheField>
    <cacheField name="Revenue" numFmtId="3">
      <sharedItems containsSemiMixedTypes="0" containsString="0" containsNumber="1" containsInteger="1" minValue="98" maxValue="161990"/>
    </cacheField>
    <cacheField name="Profit" numFmtId="3">
      <sharedItems containsSemiMixedTypes="0" containsString="0" containsNumber="1" containsInteger="1" minValue="-287" maxValue="26990"/>
    </cacheField>
    <cacheField name="Profit Margin" numFmtId="166">
      <sharedItems containsSemiMixedTypes="0" containsString="0" containsNumber="1" minValue="-0.83673469387755106" maxValue="0.79955456570155903"/>
    </cacheField>
  </cacheFields>
  <extLst>
    <ext xmlns:x14="http://schemas.microsoft.com/office/spreadsheetml/2009/9/main" uri="{725AE2AE-9491-48be-B2B4-4EB974FC3084}">
      <x14:pivotCacheDefinition pivotCacheId="1096337615"/>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8">
  <r>
    <s v="ORD54842"/>
    <d v="2025-01-01T00:00:00"/>
    <s v="Study Table"/>
    <x v="0"/>
    <x v="0"/>
    <n v="7"/>
    <n v="7199"/>
    <n v="5000"/>
    <x v="0"/>
    <x v="0"/>
    <n v="50393"/>
    <n v="15393"/>
    <n v="0.30545909154049172"/>
  </r>
  <r>
    <s v="ORD71454"/>
    <d v="2025-01-03T00:00:00"/>
    <s v="Cotton T-Shirt"/>
    <x v="1"/>
    <x v="1"/>
    <n v="3"/>
    <n v="799"/>
    <n v="350"/>
    <x v="0"/>
    <x v="1"/>
    <n v="2397"/>
    <n v="1347"/>
    <n v="0.56195244055068838"/>
  </r>
  <r>
    <s v="ORD54222"/>
    <d v="2025-01-03T00:00:00"/>
    <s v="Cotton T-Shirt"/>
    <x v="1"/>
    <x v="2"/>
    <n v="7"/>
    <n v="699"/>
    <n v="350"/>
    <x v="0"/>
    <x v="0"/>
    <n v="4893"/>
    <n v="2443"/>
    <n v="0.49928469241773965"/>
  </r>
  <r>
    <s v="ORD62802"/>
    <d v="2025-01-04T00:00:00"/>
    <s v="Bluetooth Speaker"/>
    <x v="2"/>
    <x v="2"/>
    <n v="6"/>
    <n v="3099"/>
    <n v="1800"/>
    <x v="0"/>
    <x v="2"/>
    <n v="18594"/>
    <n v="7794"/>
    <n v="0.41916747337850918"/>
  </r>
  <r>
    <s v="ORD34937"/>
    <d v="2025-01-05T00:00:00"/>
    <s v="Redmi Note 13"/>
    <x v="2"/>
    <x v="2"/>
    <n v="8"/>
    <n v="15799"/>
    <n v="13500"/>
    <x v="1"/>
    <x v="1"/>
    <n v="126392"/>
    <n v="18392"/>
    <n v="0.14551553895816191"/>
  </r>
  <r>
    <s v="ORD28301"/>
    <d v="2025-01-09T00:00:00"/>
    <s v="Water Purifier"/>
    <x v="3"/>
    <x v="3"/>
    <n v="4"/>
    <n v="8899"/>
    <n v="7000"/>
    <x v="2"/>
    <x v="3"/>
    <n v="35596"/>
    <n v="7596"/>
    <n v="0.21339476345656816"/>
  </r>
  <r>
    <s v="ORD61155"/>
    <d v="2025-01-09T00:00:00"/>
    <s v="LED Desk Lamp"/>
    <x v="4"/>
    <x v="2"/>
    <n v="5"/>
    <n v="899"/>
    <n v="500"/>
    <x v="0"/>
    <x v="2"/>
    <n v="4495"/>
    <n v="1995"/>
    <n v="0.44382647385984425"/>
  </r>
  <r>
    <s v="ORD35926"/>
    <d v="2025-01-16T00:00:00"/>
    <s v="Mixer Grinder"/>
    <x v="3"/>
    <x v="3"/>
    <n v="4"/>
    <n v="3299"/>
    <n v="2500"/>
    <x v="2"/>
    <x v="1"/>
    <n v="13196"/>
    <n v="3196"/>
    <n v="0.24219460442558352"/>
  </r>
  <r>
    <s v="ORD30270"/>
    <d v="2025-01-16T00:00:00"/>
    <s v="Samsung Galaxy M14"/>
    <x v="2"/>
    <x v="4"/>
    <n v="8"/>
    <n v="12799"/>
    <n v="10800"/>
    <x v="0"/>
    <x v="3"/>
    <n v="102392"/>
    <n v="15992"/>
    <n v="0.15618407688100633"/>
  </r>
  <r>
    <s v="ORD47891"/>
    <d v="2025-01-17T00:00:00"/>
    <s v="Printer Paper"/>
    <x v="5"/>
    <x v="2"/>
    <n v="1"/>
    <n v="199"/>
    <n v="180"/>
    <x v="2"/>
    <x v="0"/>
    <n v="199"/>
    <n v="19"/>
    <n v="9.5477386934673364E-2"/>
  </r>
  <r>
    <s v="ORD12100"/>
    <d v="2025-01-18T00:00:00"/>
    <s v="Study Table"/>
    <x v="0"/>
    <x v="3"/>
    <n v="4"/>
    <n v="6999"/>
    <n v="5000"/>
    <x v="0"/>
    <x v="1"/>
    <n v="27996"/>
    <n v="7996"/>
    <n v="0.28561223031861693"/>
  </r>
  <r>
    <s v="ORD43265"/>
    <d v="2025-01-19T00:00:00"/>
    <s v="Cotton T-Shirt"/>
    <x v="1"/>
    <x v="0"/>
    <n v="2"/>
    <n v="599"/>
    <n v="350"/>
    <x v="3"/>
    <x v="0"/>
    <n v="1198"/>
    <n v="498"/>
    <n v="0.41569282136894825"/>
  </r>
  <r>
    <s v="ORD99264"/>
    <d v="2025-01-22T00:00:00"/>
    <s v="Samsung Galaxy M14"/>
    <x v="2"/>
    <x v="0"/>
    <n v="5"/>
    <n v="13099"/>
    <n v="10800"/>
    <x v="0"/>
    <x v="1"/>
    <n v="65495"/>
    <n v="11495"/>
    <n v="0.17550958088403695"/>
  </r>
  <r>
    <s v="ORD16441"/>
    <d v="2025-01-22T00:00:00"/>
    <s v="Coffee Mug"/>
    <x v="4"/>
    <x v="3"/>
    <n v="10"/>
    <n v="249"/>
    <n v="90"/>
    <x v="0"/>
    <x v="0"/>
    <n v="2490"/>
    <n v="1590"/>
    <n v="0.63855421686746983"/>
  </r>
  <r>
    <s v="ORD54289"/>
    <d v="2025-01-23T00:00:00"/>
    <s v="Bluetooth Speaker"/>
    <x v="2"/>
    <x v="2"/>
    <n v="2"/>
    <n v="2799"/>
    <n v="1800"/>
    <x v="3"/>
    <x v="4"/>
    <n v="5598"/>
    <n v="1998"/>
    <n v="0.35691318327974275"/>
  </r>
  <r>
    <s v="ORD52038"/>
    <d v="2025-01-24T00:00:00"/>
    <s v="Study Table"/>
    <x v="0"/>
    <x v="3"/>
    <n v="3"/>
    <n v="7099"/>
    <n v="5000"/>
    <x v="4"/>
    <x v="4"/>
    <n v="21297"/>
    <n v="6297"/>
    <n v="0.29567544724609102"/>
  </r>
  <r>
    <s v="ORD28779"/>
    <d v="2025-01-26T00:00:00"/>
    <s v="Bluetooth Speaker"/>
    <x v="2"/>
    <x v="3"/>
    <n v="2"/>
    <n v="2899"/>
    <n v="1800"/>
    <x v="1"/>
    <x v="3"/>
    <n v="5798"/>
    <n v="2198"/>
    <n v="0.37909624008278719"/>
  </r>
  <r>
    <s v="ORD10212"/>
    <d v="2025-01-26T00:00:00"/>
    <s v="LED Desk Lamp"/>
    <x v="4"/>
    <x v="1"/>
    <n v="2"/>
    <n v="699"/>
    <n v="500"/>
    <x v="1"/>
    <x v="3"/>
    <n v="1398"/>
    <n v="398"/>
    <n v="0.28469241773962806"/>
  </r>
  <r>
    <s v="ORD50395"/>
    <d v="2025-01-27T00:00:00"/>
    <s v="Redmi Note 13"/>
    <x v="2"/>
    <x v="3"/>
    <n v="2"/>
    <n v="16099"/>
    <n v="13500"/>
    <x v="0"/>
    <x v="3"/>
    <n v="32198"/>
    <n v="5198"/>
    <n v="0.16143859867072488"/>
  </r>
  <r>
    <s v="ORD15112"/>
    <d v="2025-01-30T00:00:00"/>
    <s v="Study Table"/>
    <x v="0"/>
    <x v="3"/>
    <n v="8"/>
    <n v="6899"/>
    <n v="5000"/>
    <x v="3"/>
    <x v="3"/>
    <n v="55192"/>
    <n v="15192"/>
    <n v="0.27525728366429919"/>
  </r>
  <r>
    <s v="ORD21323"/>
    <d v="2025-02-01T00:00:00"/>
    <s v="Cotton T-Shirt"/>
    <x v="1"/>
    <x v="2"/>
    <n v="10"/>
    <n v="699"/>
    <n v="350"/>
    <x v="4"/>
    <x v="1"/>
    <n v="6990"/>
    <n v="3490"/>
    <n v="0.49928469241773965"/>
  </r>
  <r>
    <s v="ORD96827"/>
    <d v="2025-02-02T00:00:00"/>
    <s v="Smart Watch"/>
    <x v="2"/>
    <x v="3"/>
    <n v="7"/>
    <n v="3699"/>
    <n v="2400"/>
    <x v="2"/>
    <x v="3"/>
    <n v="25893"/>
    <n v="9093"/>
    <n v="0.35117599351175993"/>
  </r>
  <r>
    <s v="ORD48387"/>
    <d v="2025-02-04T00:00:00"/>
    <s v="Printer Paper"/>
    <x v="5"/>
    <x v="2"/>
    <n v="9"/>
    <n v="499"/>
    <n v="180"/>
    <x v="2"/>
    <x v="4"/>
    <n v="4491"/>
    <n v="2871"/>
    <n v="0.63927855711422843"/>
  </r>
  <r>
    <s v="ORD55831"/>
    <d v="2025-02-04T00:00:00"/>
    <s v="Smart Watch"/>
    <x v="2"/>
    <x v="1"/>
    <n v="7"/>
    <n v="3599"/>
    <n v="2400"/>
    <x v="0"/>
    <x v="3"/>
    <n v="25193"/>
    <n v="8393"/>
    <n v="0.33314809669352596"/>
  </r>
  <r>
    <s v="ORD84416"/>
    <d v="2025-02-07T00:00:00"/>
    <s v="Mixer Grinder"/>
    <x v="3"/>
    <x v="3"/>
    <n v="3"/>
    <n v="3599"/>
    <n v="2500"/>
    <x v="0"/>
    <x v="3"/>
    <n v="10797"/>
    <n v="3297"/>
    <n v="0.30536260072242288"/>
  </r>
  <r>
    <s v="ORD96518"/>
    <d v="2025-02-07T00:00:00"/>
    <s v="Water Purifier"/>
    <x v="3"/>
    <x v="2"/>
    <n v="6"/>
    <n v="8899"/>
    <n v="7000"/>
    <x v="0"/>
    <x v="1"/>
    <n v="53394"/>
    <n v="11394"/>
    <n v="0.21339476345656816"/>
  </r>
  <r>
    <s v="ORD57901"/>
    <d v="2025-02-07T00:00:00"/>
    <s v="LED Desk Lamp"/>
    <x v="4"/>
    <x v="4"/>
    <n v="5"/>
    <n v="799"/>
    <n v="500"/>
    <x v="1"/>
    <x v="2"/>
    <n v="3995"/>
    <n v="1495"/>
    <n v="0.37421777221526908"/>
  </r>
  <r>
    <s v="ORD62046"/>
    <d v="2025-02-08T00:00:00"/>
    <s v="Cotton T-Shirt"/>
    <x v="1"/>
    <x v="0"/>
    <n v="1"/>
    <n v="599"/>
    <n v="350"/>
    <x v="0"/>
    <x v="3"/>
    <n v="599"/>
    <n v="249"/>
    <n v="0.41569282136894825"/>
  </r>
  <r>
    <s v="ORD47012"/>
    <d v="2025-02-08T00:00:00"/>
    <s v="Samsung Galaxy M14"/>
    <x v="2"/>
    <x v="3"/>
    <n v="3"/>
    <n v="13199"/>
    <n v="10800"/>
    <x v="0"/>
    <x v="2"/>
    <n v="39597"/>
    <n v="7197"/>
    <n v="0.18175619365103418"/>
  </r>
  <r>
    <s v="ORD97746"/>
    <d v="2025-02-09T00:00:00"/>
    <s v="Coffee Mug"/>
    <x v="4"/>
    <x v="2"/>
    <n v="10"/>
    <n v="349"/>
    <n v="90"/>
    <x v="4"/>
    <x v="1"/>
    <n v="3490"/>
    <n v="2590"/>
    <n v="0.74212034383954151"/>
  </r>
  <r>
    <s v="ORD56775"/>
    <d v="2025-02-10T00:00:00"/>
    <s v="Bluetooth Speaker"/>
    <x v="2"/>
    <x v="0"/>
    <n v="6"/>
    <n v="3199"/>
    <n v="1800"/>
    <x v="1"/>
    <x v="4"/>
    <n v="19194"/>
    <n v="8394"/>
    <n v="0.43732416380118788"/>
  </r>
  <r>
    <s v="ORD59025"/>
    <d v="2025-02-11T00:00:00"/>
    <s v="Water Purifier"/>
    <x v="3"/>
    <x v="3"/>
    <n v="3"/>
    <n v="9199"/>
    <n v="7000"/>
    <x v="2"/>
    <x v="1"/>
    <n v="27597"/>
    <n v="6597"/>
    <n v="0.23904772257854115"/>
  </r>
  <r>
    <s v="ORD25349"/>
    <d v="2025-02-12T00:00:00"/>
    <s v="LED Desk Lamp"/>
    <x v="4"/>
    <x v="3"/>
    <n v="2"/>
    <n v="999"/>
    <n v="500"/>
    <x v="0"/>
    <x v="1"/>
    <n v="1998"/>
    <n v="998"/>
    <n v="0.49949949949949951"/>
  </r>
  <r>
    <s v="ORD93900"/>
    <d v="2025-02-14T00:00:00"/>
    <s v="Printer Paper"/>
    <x v="5"/>
    <x v="2"/>
    <n v="3"/>
    <n v="399"/>
    <n v="180"/>
    <x v="3"/>
    <x v="1"/>
    <n v="1197"/>
    <n v="657"/>
    <n v="0.54887218045112784"/>
  </r>
  <r>
    <s v="ORD67364"/>
    <d v="2025-02-15T00:00:00"/>
    <s v="Coffee Mug"/>
    <x v="4"/>
    <x v="0"/>
    <n v="2"/>
    <n v="149"/>
    <n v="90"/>
    <x v="0"/>
    <x v="3"/>
    <n v="298"/>
    <n v="118"/>
    <n v="0.39597315436241609"/>
  </r>
  <r>
    <s v="ORD15280"/>
    <d v="2025-02-16T00:00:00"/>
    <s v="Notebook Pack"/>
    <x v="5"/>
    <x v="1"/>
    <n v="7"/>
    <n v="99"/>
    <n v="120"/>
    <x v="3"/>
    <x v="3"/>
    <n v="693"/>
    <n v="-147"/>
    <n v="-0.21212121212121213"/>
  </r>
  <r>
    <s v="ORD61036"/>
    <d v="2025-02-17T00:00:00"/>
    <s v="Study Table"/>
    <x v="0"/>
    <x v="0"/>
    <n v="7"/>
    <n v="6799"/>
    <n v="5000"/>
    <x v="0"/>
    <x v="3"/>
    <n v="47593"/>
    <n v="12593"/>
    <n v="0.26459773496102368"/>
  </r>
  <r>
    <s v="ORD76470"/>
    <d v="2025-02-18T00:00:00"/>
    <s v="Redmi Note 13"/>
    <x v="2"/>
    <x v="3"/>
    <n v="7"/>
    <n v="15999"/>
    <n v="13500"/>
    <x v="0"/>
    <x v="3"/>
    <n v="111993"/>
    <n v="17493"/>
    <n v="0.15619726232889555"/>
  </r>
  <r>
    <s v="ORD22795"/>
    <d v="2025-02-18T00:00:00"/>
    <s v="Notebook Pack"/>
    <x v="5"/>
    <x v="3"/>
    <n v="8"/>
    <n v="99"/>
    <n v="120"/>
    <x v="0"/>
    <x v="0"/>
    <n v="792"/>
    <n v="-168"/>
    <n v="-0.21212121212121213"/>
  </r>
  <r>
    <s v="ORD62481"/>
    <d v="2025-02-18T00:00:00"/>
    <s v="Smart Watch"/>
    <x v="2"/>
    <x v="3"/>
    <n v="7"/>
    <n v="3599"/>
    <n v="2400"/>
    <x v="3"/>
    <x v="1"/>
    <n v="25193"/>
    <n v="8393"/>
    <n v="0.33314809669352596"/>
  </r>
  <r>
    <s v="ORD88402"/>
    <d v="2025-02-20T00:00:00"/>
    <s v="Running Shoes"/>
    <x v="1"/>
    <x v="1"/>
    <n v="8"/>
    <n v="2699"/>
    <n v="1400"/>
    <x v="2"/>
    <x v="3"/>
    <n v="21592"/>
    <n v="10392"/>
    <n v="0.48128936643201187"/>
  </r>
  <r>
    <s v="ORD84873"/>
    <d v="2025-02-21T00:00:00"/>
    <s v="Mixer Grinder"/>
    <x v="3"/>
    <x v="2"/>
    <n v="9"/>
    <n v="3299"/>
    <n v="2500"/>
    <x v="2"/>
    <x v="1"/>
    <n v="29691"/>
    <n v="7191"/>
    <n v="0.24219460442558352"/>
  </r>
  <r>
    <s v="ORD80002"/>
    <d v="2025-02-24T00:00:00"/>
    <s v="Samsung Galaxy M14"/>
    <x v="2"/>
    <x v="3"/>
    <n v="1"/>
    <n v="12999"/>
    <n v="10800"/>
    <x v="2"/>
    <x v="1"/>
    <n v="12999"/>
    <n v="2199"/>
    <n v="0.16916685898915301"/>
  </r>
  <r>
    <s v="ORD63545"/>
    <d v="2025-02-26T00:00:00"/>
    <s v="Water Purifier"/>
    <x v="3"/>
    <x v="4"/>
    <n v="5"/>
    <n v="8999"/>
    <n v="7000"/>
    <x v="2"/>
    <x v="3"/>
    <n v="44995"/>
    <n v="9995"/>
    <n v="0.22213579286587398"/>
  </r>
  <r>
    <s v="ORD55853"/>
    <d v="2025-03-03T00:00:00"/>
    <s v="Cotton T-Shirt"/>
    <x v="1"/>
    <x v="1"/>
    <n v="10"/>
    <n v="699"/>
    <n v="350"/>
    <x v="1"/>
    <x v="3"/>
    <n v="6990"/>
    <n v="3490"/>
    <n v="0.49928469241773965"/>
  </r>
  <r>
    <s v="ORD73372"/>
    <d v="2025-03-04T00:00:00"/>
    <s v="Smart Watch"/>
    <x v="2"/>
    <x v="3"/>
    <n v="5"/>
    <n v="3599"/>
    <n v="2400"/>
    <x v="4"/>
    <x v="3"/>
    <n v="17995"/>
    <n v="5995"/>
    <n v="0.33314809669352596"/>
  </r>
  <r>
    <s v="ORD39480"/>
    <d v="2025-03-10T00:00:00"/>
    <s v="Running Shoes"/>
    <x v="1"/>
    <x v="0"/>
    <n v="3"/>
    <n v="2299"/>
    <n v="1400"/>
    <x v="0"/>
    <x v="1"/>
    <n v="6897"/>
    <n v="2697"/>
    <n v="0.39103958242714226"/>
  </r>
  <r>
    <s v="ORD41424"/>
    <d v="2025-03-13T00:00:00"/>
    <s v="Water Purifier"/>
    <x v="3"/>
    <x v="2"/>
    <n v="6"/>
    <n v="8899"/>
    <n v="7000"/>
    <x v="0"/>
    <x v="3"/>
    <n v="53394"/>
    <n v="11394"/>
    <n v="0.21339476345656816"/>
  </r>
  <r>
    <s v="ORD69690"/>
    <d v="2025-03-13T00:00:00"/>
    <s v="Boat Headphones"/>
    <x v="2"/>
    <x v="4"/>
    <n v="2"/>
    <n v="2199"/>
    <n v="1200"/>
    <x v="0"/>
    <x v="2"/>
    <n v="4398"/>
    <n v="1998"/>
    <n v="0.45429740791268758"/>
  </r>
  <r>
    <s v="ORD90297"/>
    <d v="2025-03-14T00:00:00"/>
    <s v="Coffee Mug"/>
    <x v="4"/>
    <x v="4"/>
    <n v="2"/>
    <n v="49"/>
    <n v="90"/>
    <x v="0"/>
    <x v="1"/>
    <n v="98"/>
    <n v="-82"/>
    <n v="-0.83673469387755106"/>
  </r>
  <r>
    <s v="ORD52784"/>
    <d v="2025-03-15T00:00:00"/>
    <s v="Study Table"/>
    <x v="0"/>
    <x v="3"/>
    <n v="2"/>
    <n v="7099"/>
    <n v="5000"/>
    <x v="0"/>
    <x v="1"/>
    <n v="14198"/>
    <n v="4198"/>
    <n v="0.29567544724609102"/>
  </r>
  <r>
    <s v="ORD56636"/>
    <d v="2025-03-16T00:00:00"/>
    <s v="Printer Paper"/>
    <x v="5"/>
    <x v="1"/>
    <n v="1"/>
    <n v="199"/>
    <n v="180"/>
    <x v="0"/>
    <x v="3"/>
    <n v="199"/>
    <n v="19"/>
    <n v="9.5477386934673364E-2"/>
  </r>
  <r>
    <s v="ORD49698"/>
    <d v="2025-03-17T00:00:00"/>
    <s v="Bluetooth Speaker"/>
    <x v="2"/>
    <x v="4"/>
    <n v="6"/>
    <n v="2999"/>
    <n v="1800"/>
    <x v="2"/>
    <x v="4"/>
    <n v="17994"/>
    <n v="7194"/>
    <n v="0.39979993331110369"/>
  </r>
  <r>
    <s v="ORD53217"/>
    <d v="2025-03-18T00:00:00"/>
    <s v="Coffee Mug"/>
    <x v="4"/>
    <x v="3"/>
    <n v="8"/>
    <n v="249"/>
    <n v="90"/>
    <x v="2"/>
    <x v="3"/>
    <n v="1992"/>
    <n v="1272"/>
    <n v="0.63855421686746983"/>
  </r>
  <r>
    <s v="ORD76515"/>
    <d v="2025-03-19T00:00:00"/>
    <s v="Office Chair"/>
    <x v="0"/>
    <x v="2"/>
    <n v="3"/>
    <n v="5399"/>
    <n v="3800"/>
    <x v="0"/>
    <x v="4"/>
    <n v="16197"/>
    <n v="4797"/>
    <n v="0.29616595665864048"/>
  </r>
  <r>
    <s v="ORD92104"/>
    <d v="2025-03-20T00:00:00"/>
    <s v="Study Table"/>
    <x v="0"/>
    <x v="3"/>
    <n v="7"/>
    <n v="6899"/>
    <n v="5000"/>
    <x v="2"/>
    <x v="2"/>
    <n v="48293"/>
    <n v="13293"/>
    <n v="0.27525728366429919"/>
  </r>
  <r>
    <s v="ORD23649"/>
    <d v="2025-03-21T00:00:00"/>
    <s v="LED Desk Lamp"/>
    <x v="4"/>
    <x v="4"/>
    <n v="5"/>
    <n v="799"/>
    <n v="500"/>
    <x v="0"/>
    <x v="4"/>
    <n v="3995"/>
    <n v="1495"/>
    <n v="0.37421777221526908"/>
  </r>
  <r>
    <s v="ORD55598"/>
    <d v="2025-03-22T00:00:00"/>
    <s v="Study Table"/>
    <x v="0"/>
    <x v="1"/>
    <n v="1"/>
    <n v="7099"/>
    <n v="5000"/>
    <x v="0"/>
    <x v="1"/>
    <n v="7099"/>
    <n v="2099"/>
    <n v="0.29567544724609102"/>
  </r>
  <r>
    <s v="ORD49033"/>
    <d v="2025-03-22T00:00:00"/>
    <s v="Smart Watch"/>
    <x v="2"/>
    <x v="3"/>
    <n v="9"/>
    <n v="3499"/>
    <n v="2400"/>
    <x v="0"/>
    <x v="4"/>
    <n v="31491"/>
    <n v="9891"/>
    <n v="0.31408973992569306"/>
  </r>
  <r>
    <s v="ORD50891"/>
    <d v="2025-03-23T00:00:00"/>
    <s v="Boat Headphones"/>
    <x v="2"/>
    <x v="2"/>
    <n v="10"/>
    <n v="1899"/>
    <n v="1200"/>
    <x v="0"/>
    <x v="4"/>
    <n v="18990"/>
    <n v="6990"/>
    <n v="0.36808846761453395"/>
  </r>
  <r>
    <s v="ORD63635"/>
    <d v="2025-03-24T00:00:00"/>
    <s v="Cotton T-Shirt"/>
    <x v="1"/>
    <x v="0"/>
    <n v="3"/>
    <n v="799"/>
    <n v="350"/>
    <x v="1"/>
    <x v="3"/>
    <n v="2397"/>
    <n v="1347"/>
    <n v="0.56195244055068838"/>
  </r>
  <r>
    <s v="ORD93804"/>
    <d v="2025-03-26T00:00:00"/>
    <s v="LED Desk Lamp"/>
    <x v="4"/>
    <x v="3"/>
    <n v="4"/>
    <n v="799"/>
    <n v="500"/>
    <x v="0"/>
    <x v="2"/>
    <n v="3196"/>
    <n v="1196"/>
    <n v="0.37421777221526908"/>
  </r>
  <r>
    <s v="ORD15299"/>
    <d v="2025-03-26T00:00:00"/>
    <s v="Coffee Mug"/>
    <x v="4"/>
    <x v="4"/>
    <n v="7"/>
    <n v="149"/>
    <n v="90"/>
    <x v="1"/>
    <x v="1"/>
    <n v="1043"/>
    <n v="413"/>
    <n v="0.39597315436241609"/>
  </r>
  <r>
    <s v="ORD61295"/>
    <d v="2025-03-28T00:00:00"/>
    <s v="Water Purifier"/>
    <x v="3"/>
    <x v="3"/>
    <n v="3"/>
    <n v="8999"/>
    <n v="7000"/>
    <x v="3"/>
    <x v="2"/>
    <n v="26997"/>
    <n v="5997"/>
    <n v="0.22213579286587398"/>
  </r>
  <r>
    <s v="ORD91365"/>
    <d v="2025-03-28T00:00:00"/>
    <s v="Office Chair"/>
    <x v="0"/>
    <x v="3"/>
    <n v="4"/>
    <n v="5399"/>
    <n v="3800"/>
    <x v="2"/>
    <x v="1"/>
    <n v="21596"/>
    <n v="6396"/>
    <n v="0.29616595665864048"/>
  </r>
  <r>
    <s v="ORD26498"/>
    <d v="2025-03-29T00:00:00"/>
    <s v="Notebook Pack"/>
    <x v="5"/>
    <x v="3"/>
    <n v="8"/>
    <n v="299"/>
    <n v="120"/>
    <x v="3"/>
    <x v="1"/>
    <n v="2392"/>
    <n v="1432"/>
    <n v="0.59866220735785958"/>
  </r>
  <r>
    <s v="ORD92675"/>
    <d v="2025-04-02T00:00:00"/>
    <s v="Bluetooth Speaker"/>
    <x v="2"/>
    <x v="4"/>
    <n v="8"/>
    <n v="3099"/>
    <n v="1800"/>
    <x v="1"/>
    <x v="4"/>
    <n v="24792"/>
    <n v="10392"/>
    <n v="0.41916747337850918"/>
  </r>
  <r>
    <s v="ORD29943"/>
    <d v="2025-04-02T00:00:00"/>
    <s v="LED Desk Lamp"/>
    <x v="4"/>
    <x v="1"/>
    <n v="9"/>
    <n v="699"/>
    <n v="500"/>
    <x v="4"/>
    <x v="1"/>
    <n v="6291"/>
    <n v="1791"/>
    <n v="0.28469241773962806"/>
  </r>
  <r>
    <s v="ORD88283"/>
    <d v="2025-04-05T00:00:00"/>
    <s v="Printer Paper"/>
    <x v="5"/>
    <x v="3"/>
    <n v="5"/>
    <n v="499"/>
    <n v="180"/>
    <x v="2"/>
    <x v="1"/>
    <n v="2495"/>
    <n v="1595"/>
    <n v="0.63927855711422843"/>
  </r>
  <r>
    <s v="ORD46381"/>
    <d v="2025-04-05T00:00:00"/>
    <s v="Boat Headphones"/>
    <x v="2"/>
    <x v="1"/>
    <n v="1"/>
    <n v="2099"/>
    <n v="1200"/>
    <x v="0"/>
    <x v="1"/>
    <n v="2099"/>
    <n v="899"/>
    <n v="0.42829919009051931"/>
  </r>
  <r>
    <s v="ORD78254"/>
    <d v="2025-04-06T00:00:00"/>
    <s v="Notebook Pack"/>
    <x v="5"/>
    <x v="0"/>
    <n v="10"/>
    <n v="199"/>
    <n v="120"/>
    <x v="0"/>
    <x v="3"/>
    <n v="1990"/>
    <n v="790"/>
    <n v="0.39698492462311558"/>
  </r>
  <r>
    <s v="ORD65947"/>
    <d v="2025-04-07T00:00:00"/>
    <s v="Printer Paper"/>
    <x v="5"/>
    <x v="0"/>
    <n v="10"/>
    <n v="199"/>
    <n v="180"/>
    <x v="0"/>
    <x v="3"/>
    <n v="1990"/>
    <n v="190"/>
    <n v="9.5477386934673364E-2"/>
  </r>
  <r>
    <s v="ORD49622"/>
    <d v="2025-04-08T00:00:00"/>
    <s v="Mixer Grinder"/>
    <x v="3"/>
    <x v="0"/>
    <n v="9"/>
    <n v="3599"/>
    <n v="2500"/>
    <x v="4"/>
    <x v="3"/>
    <n v="32391"/>
    <n v="9891"/>
    <n v="0.30536260072242288"/>
  </r>
  <r>
    <s v="ORD24753"/>
    <d v="2025-04-10T00:00:00"/>
    <s v="Smart Watch"/>
    <x v="2"/>
    <x v="0"/>
    <n v="8"/>
    <n v="3699"/>
    <n v="2400"/>
    <x v="0"/>
    <x v="0"/>
    <n v="29592"/>
    <n v="10392"/>
    <n v="0.35117599351175993"/>
  </r>
  <r>
    <s v="ORD35906"/>
    <d v="2025-04-10T00:00:00"/>
    <s v="Notebook Pack"/>
    <x v="5"/>
    <x v="3"/>
    <n v="6"/>
    <n v="299"/>
    <n v="120"/>
    <x v="0"/>
    <x v="0"/>
    <n v="1794"/>
    <n v="1074"/>
    <n v="0.59866220735785958"/>
  </r>
  <r>
    <s v="ORD14067"/>
    <d v="2025-04-11T00:00:00"/>
    <s v="Coffee Mug"/>
    <x v="4"/>
    <x v="2"/>
    <n v="3"/>
    <n v="449"/>
    <n v="90"/>
    <x v="3"/>
    <x v="3"/>
    <n v="1347"/>
    <n v="1077"/>
    <n v="0.79955456570155903"/>
  </r>
  <r>
    <s v="ORD24674"/>
    <d v="2025-04-11T00:00:00"/>
    <s v="Office Chair"/>
    <x v="0"/>
    <x v="3"/>
    <n v="2"/>
    <n v="5399"/>
    <n v="3800"/>
    <x v="0"/>
    <x v="2"/>
    <n v="10798"/>
    <n v="3198"/>
    <n v="0.29616595665864048"/>
  </r>
  <r>
    <s v="ORD64247"/>
    <d v="2025-04-11T00:00:00"/>
    <s v="Notebook Pack"/>
    <x v="5"/>
    <x v="3"/>
    <n v="5"/>
    <n v="199"/>
    <n v="120"/>
    <x v="4"/>
    <x v="0"/>
    <n v="995"/>
    <n v="395"/>
    <n v="0.39698492462311558"/>
  </r>
  <r>
    <s v="ORD97416"/>
    <d v="2025-04-13T00:00:00"/>
    <s v="Boat Headphones"/>
    <x v="2"/>
    <x v="4"/>
    <n v="1"/>
    <n v="1799"/>
    <n v="1200"/>
    <x v="0"/>
    <x v="3"/>
    <n v="1799"/>
    <n v="599"/>
    <n v="0.33296275708727069"/>
  </r>
  <r>
    <s v="ORD63858"/>
    <d v="2025-04-14T00:00:00"/>
    <s v="Cotton T-Shirt"/>
    <x v="1"/>
    <x v="3"/>
    <n v="5"/>
    <n v="999"/>
    <n v="350"/>
    <x v="0"/>
    <x v="3"/>
    <n v="4995"/>
    <n v="3245"/>
    <n v="0.64964964964964966"/>
  </r>
  <r>
    <s v="ORD55966"/>
    <d v="2025-04-14T00:00:00"/>
    <s v="Running Shoes"/>
    <x v="1"/>
    <x v="0"/>
    <n v="4"/>
    <n v="2399"/>
    <n v="1400"/>
    <x v="1"/>
    <x v="3"/>
    <n v="9596"/>
    <n v="3996"/>
    <n v="0.41642350979574821"/>
  </r>
  <r>
    <s v="ORD27071"/>
    <d v="2025-04-15T00:00:00"/>
    <s v="LED Desk Lamp"/>
    <x v="4"/>
    <x v="2"/>
    <n v="5"/>
    <n v="899"/>
    <n v="500"/>
    <x v="0"/>
    <x v="1"/>
    <n v="4495"/>
    <n v="1995"/>
    <n v="0.44382647385984425"/>
  </r>
  <r>
    <s v="ORD90598"/>
    <d v="2025-04-16T00:00:00"/>
    <s v="Water Purifier"/>
    <x v="3"/>
    <x v="3"/>
    <n v="4"/>
    <n v="8999"/>
    <n v="7000"/>
    <x v="0"/>
    <x v="1"/>
    <n v="35996"/>
    <n v="7996"/>
    <n v="0.22213579286587398"/>
  </r>
  <r>
    <s v="ORD49794"/>
    <d v="2025-04-18T00:00:00"/>
    <s v="Coffee Mug"/>
    <x v="4"/>
    <x v="4"/>
    <n v="10"/>
    <n v="349"/>
    <n v="90"/>
    <x v="0"/>
    <x v="3"/>
    <n v="3490"/>
    <n v="2590"/>
    <n v="0.74212034383954151"/>
  </r>
  <r>
    <s v="ORD47011"/>
    <d v="2025-04-19T00:00:00"/>
    <s v="Samsung Galaxy M14"/>
    <x v="2"/>
    <x v="3"/>
    <n v="4"/>
    <n v="12799"/>
    <n v="10800"/>
    <x v="0"/>
    <x v="1"/>
    <n v="51196"/>
    <n v="7996"/>
    <n v="0.15618407688100633"/>
  </r>
  <r>
    <s v="ORD28121"/>
    <d v="2025-04-23T00:00:00"/>
    <s v="Office Chair"/>
    <x v="0"/>
    <x v="2"/>
    <n v="5"/>
    <n v="5499"/>
    <n v="3800"/>
    <x v="1"/>
    <x v="0"/>
    <n v="27495"/>
    <n v="8495"/>
    <n v="0.30896526641207495"/>
  </r>
  <r>
    <s v="ORD49841"/>
    <d v="2025-04-23T00:00:00"/>
    <s v="Smart Watch"/>
    <x v="2"/>
    <x v="1"/>
    <n v="8"/>
    <n v="3599"/>
    <n v="2400"/>
    <x v="0"/>
    <x v="4"/>
    <n v="28792"/>
    <n v="9592"/>
    <n v="0.33314809669352596"/>
  </r>
  <r>
    <s v="ORD26963"/>
    <d v="2025-04-24T00:00:00"/>
    <s v="Mixer Grinder"/>
    <x v="3"/>
    <x v="4"/>
    <n v="9"/>
    <n v="3699"/>
    <n v="2500"/>
    <x v="3"/>
    <x v="1"/>
    <n v="33291"/>
    <n v="10791"/>
    <n v="0.32414165990808325"/>
  </r>
  <r>
    <s v="ORD51923"/>
    <d v="2025-04-24T00:00:00"/>
    <s v="Office Chair"/>
    <x v="0"/>
    <x v="3"/>
    <n v="2"/>
    <n v="5299"/>
    <n v="3800"/>
    <x v="0"/>
    <x v="4"/>
    <n v="10598"/>
    <n v="2998"/>
    <n v="0.2828835629364031"/>
  </r>
  <r>
    <s v="ORD41797"/>
    <d v="2025-04-25T00:00:00"/>
    <s v="Office Chair"/>
    <x v="0"/>
    <x v="0"/>
    <n v="10"/>
    <n v="5399"/>
    <n v="3800"/>
    <x v="0"/>
    <x v="4"/>
    <n v="53990"/>
    <n v="15990"/>
    <n v="0.29616595665864048"/>
  </r>
  <r>
    <s v="ORD29161"/>
    <d v="2025-04-25T00:00:00"/>
    <s v="Water Purifier"/>
    <x v="3"/>
    <x v="4"/>
    <n v="5"/>
    <n v="9099"/>
    <n v="7000"/>
    <x v="0"/>
    <x v="3"/>
    <n v="45495"/>
    <n v="10495"/>
    <n v="0.23068469062534344"/>
  </r>
  <r>
    <s v="ORD53981"/>
    <d v="2025-04-29T00:00:00"/>
    <s v="Samsung Galaxy M14"/>
    <x v="2"/>
    <x v="3"/>
    <n v="7"/>
    <n v="12799"/>
    <n v="10800"/>
    <x v="3"/>
    <x v="0"/>
    <n v="89593"/>
    <n v="13993"/>
    <n v="0.15618407688100633"/>
  </r>
  <r>
    <s v="ORD27844"/>
    <d v="2025-04-29T00:00:00"/>
    <s v="Cotton T-Shirt"/>
    <x v="1"/>
    <x v="2"/>
    <n v="5"/>
    <n v="599"/>
    <n v="350"/>
    <x v="1"/>
    <x v="0"/>
    <n v="2995"/>
    <n v="1245"/>
    <n v="0.41569282136894825"/>
  </r>
  <r>
    <s v="ORD31543"/>
    <d v="2025-04-30T00:00:00"/>
    <s v="Running Shoes"/>
    <x v="1"/>
    <x v="0"/>
    <n v="6"/>
    <n v="2299"/>
    <n v="1400"/>
    <x v="2"/>
    <x v="3"/>
    <n v="13794"/>
    <n v="5394"/>
    <n v="0.39103958242714226"/>
  </r>
  <r>
    <s v="ORD78735"/>
    <d v="2025-05-01T00:00:00"/>
    <s v="Printer Paper"/>
    <x v="5"/>
    <x v="0"/>
    <n v="4"/>
    <n v="599"/>
    <n v="180"/>
    <x v="2"/>
    <x v="1"/>
    <n v="2396"/>
    <n v="1676"/>
    <n v="0.69949916527545908"/>
  </r>
  <r>
    <s v="ORD68525"/>
    <d v="2025-05-02T00:00:00"/>
    <s v="Office Chair"/>
    <x v="0"/>
    <x v="2"/>
    <n v="7"/>
    <n v="5499"/>
    <n v="3800"/>
    <x v="0"/>
    <x v="0"/>
    <n v="38493"/>
    <n v="11893"/>
    <n v="0.30896526641207495"/>
  </r>
  <r>
    <s v="ORD70536"/>
    <d v="2025-05-03T00:00:00"/>
    <s v="Smart Watch"/>
    <x v="2"/>
    <x v="2"/>
    <n v="4"/>
    <n v="3699"/>
    <n v="2400"/>
    <x v="1"/>
    <x v="3"/>
    <n v="14796"/>
    <n v="5196"/>
    <n v="0.35117599351175993"/>
  </r>
  <r>
    <s v="ORD42180"/>
    <d v="2025-05-04T00:00:00"/>
    <s v="Running Shoes"/>
    <x v="1"/>
    <x v="3"/>
    <n v="8"/>
    <n v="2499"/>
    <n v="1400"/>
    <x v="0"/>
    <x v="0"/>
    <n v="19992"/>
    <n v="8792"/>
    <n v="0.43977591036414565"/>
  </r>
  <r>
    <s v="ORD64340"/>
    <d v="2025-05-04T00:00:00"/>
    <s v="Notebook Pack"/>
    <x v="5"/>
    <x v="2"/>
    <n v="10"/>
    <n v="399"/>
    <n v="120"/>
    <x v="3"/>
    <x v="0"/>
    <n v="3990"/>
    <n v="2790"/>
    <n v="0.6992481203007519"/>
  </r>
  <r>
    <s v="ORD57619"/>
    <d v="2025-05-05T00:00:00"/>
    <s v="Water Purifier"/>
    <x v="3"/>
    <x v="2"/>
    <n v="1"/>
    <n v="8999"/>
    <n v="7000"/>
    <x v="1"/>
    <x v="1"/>
    <n v="8999"/>
    <n v="1999"/>
    <n v="0.22213579286587398"/>
  </r>
  <r>
    <s v="ORD95860"/>
    <d v="2025-05-05T00:00:00"/>
    <s v="Water Purifier"/>
    <x v="3"/>
    <x v="2"/>
    <n v="10"/>
    <n v="8999"/>
    <n v="7000"/>
    <x v="4"/>
    <x v="3"/>
    <n v="89990"/>
    <n v="19990"/>
    <n v="0.22213579286587398"/>
  </r>
  <r>
    <s v="ORD41659"/>
    <d v="2025-05-06T00:00:00"/>
    <s v="Redmi Note 13"/>
    <x v="2"/>
    <x v="2"/>
    <n v="9"/>
    <n v="15799"/>
    <n v="13500"/>
    <x v="4"/>
    <x v="1"/>
    <n v="142191"/>
    <n v="20691"/>
    <n v="0.14551553895816191"/>
  </r>
  <r>
    <s v="ORD25793"/>
    <d v="2025-05-07T00:00:00"/>
    <s v="Water Purifier"/>
    <x v="3"/>
    <x v="1"/>
    <n v="5"/>
    <n v="8799"/>
    <n v="7000"/>
    <x v="0"/>
    <x v="2"/>
    <n v="43995"/>
    <n v="8995"/>
    <n v="0.20445505171042164"/>
  </r>
  <r>
    <s v="ORD22396"/>
    <d v="2025-05-08T00:00:00"/>
    <s v="Smart Watch"/>
    <x v="2"/>
    <x v="4"/>
    <n v="7"/>
    <n v="3599"/>
    <n v="2400"/>
    <x v="4"/>
    <x v="3"/>
    <n v="25193"/>
    <n v="8393"/>
    <n v="0.33314809669352596"/>
  </r>
  <r>
    <s v="ORD65532"/>
    <d v="2025-05-09T00:00:00"/>
    <s v="Smart Watch"/>
    <x v="2"/>
    <x v="4"/>
    <n v="4"/>
    <n v="3599"/>
    <n v="2400"/>
    <x v="0"/>
    <x v="3"/>
    <n v="14396"/>
    <n v="4796"/>
    <n v="0.33314809669352596"/>
  </r>
  <r>
    <s v="ORD54587"/>
    <d v="2025-05-10T00:00:00"/>
    <s v="Office Chair"/>
    <x v="0"/>
    <x v="3"/>
    <n v="7"/>
    <n v="5399"/>
    <n v="3800"/>
    <x v="0"/>
    <x v="2"/>
    <n v="37793"/>
    <n v="11193"/>
    <n v="0.29616595665864048"/>
  </r>
  <r>
    <s v="ORD73183"/>
    <d v="2025-05-10T00:00:00"/>
    <s v="Office Chair"/>
    <x v="0"/>
    <x v="1"/>
    <n v="9"/>
    <n v="5499"/>
    <n v="3800"/>
    <x v="4"/>
    <x v="1"/>
    <n v="49491"/>
    <n v="15291"/>
    <n v="0.30896526641207495"/>
  </r>
  <r>
    <s v="ORD62095"/>
    <d v="2025-05-13T00:00:00"/>
    <s v="Mixer Grinder"/>
    <x v="3"/>
    <x v="0"/>
    <n v="3"/>
    <n v="3499"/>
    <n v="2500"/>
    <x v="0"/>
    <x v="0"/>
    <n v="10497"/>
    <n v="2997"/>
    <n v="0.28551014575593026"/>
  </r>
  <r>
    <s v="ORD24457"/>
    <d v="2025-05-14T00:00:00"/>
    <s v="Cotton T-Shirt"/>
    <x v="1"/>
    <x v="1"/>
    <n v="4"/>
    <n v="799"/>
    <n v="350"/>
    <x v="2"/>
    <x v="3"/>
    <n v="3196"/>
    <n v="1796"/>
    <n v="0.56195244055068838"/>
  </r>
  <r>
    <s v="ORD97714"/>
    <d v="2025-05-15T00:00:00"/>
    <s v="Study Table"/>
    <x v="0"/>
    <x v="3"/>
    <n v="8"/>
    <n v="7199"/>
    <n v="5000"/>
    <x v="3"/>
    <x v="1"/>
    <n v="57592"/>
    <n v="17592"/>
    <n v="0.30545909154049172"/>
  </r>
  <r>
    <s v="ORD77002"/>
    <d v="2025-05-16T00:00:00"/>
    <s v="Running Shoes"/>
    <x v="1"/>
    <x v="4"/>
    <n v="1"/>
    <n v="2599"/>
    <n v="1400"/>
    <x v="4"/>
    <x v="0"/>
    <n v="2599"/>
    <n v="1199"/>
    <n v="0.46133128126202383"/>
  </r>
  <r>
    <s v="ORD62184"/>
    <d v="2025-05-18T00:00:00"/>
    <s v="Cotton T-Shirt"/>
    <x v="1"/>
    <x v="2"/>
    <n v="4"/>
    <n v="599"/>
    <n v="350"/>
    <x v="0"/>
    <x v="1"/>
    <n v="2396"/>
    <n v="996"/>
    <n v="0.41569282136894825"/>
  </r>
  <r>
    <s v="ORD41497"/>
    <d v="2025-05-19T00:00:00"/>
    <s v="Boat Headphones"/>
    <x v="2"/>
    <x v="3"/>
    <n v="6"/>
    <n v="1799"/>
    <n v="1200"/>
    <x v="1"/>
    <x v="1"/>
    <n v="10794"/>
    <n v="3594"/>
    <n v="0.33296275708727069"/>
  </r>
  <r>
    <s v="ORD51276"/>
    <d v="2025-05-19T00:00:00"/>
    <s v="Office Chair"/>
    <x v="0"/>
    <x v="4"/>
    <n v="6"/>
    <n v="5299"/>
    <n v="3800"/>
    <x v="4"/>
    <x v="4"/>
    <n v="31794"/>
    <n v="8994"/>
    <n v="0.2828835629364031"/>
  </r>
  <r>
    <s v="ORD45031"/>
    <d v="2025-05-20T00:00:00"/>
    <s v="Running Shoes"/>
    <x v="1"/>
    <x v="4"/>
    <n v="6"/>
    <n v="2599"/>
    <n v="1400"/>
    <x v="4"/>
    <x v="0"/>
    <n v="15594"/>
    <n v="7194"/>
    <n v="0.46133128126202383"/>
  </r>
  <r>
    <s v="ORD96714"/>
    <d v="2025-05-20T00:00:00"/>
    <s v="LED Desk Lamp"/>
    <x v="4"/>
    <x v="3"/>
    <n v="4"/>
    <n v="1099"/>
    <n v="500"/>
    <x v="0"/>
    <x v="3"/>
    <n v="4396"/>
    <n v="2396"/>
    <n v="0.54504094631483169"/>
  </r>
  <r>
    <s v="ORD55755"/>
    <d v="2025-05-21T00:00:00"/>
    <s v="LED Desk Lamp"/>
    <x v="4"/>
    <x v="3"/>
    <n v="1"/>
    <n v="1099"/>
    <n v="500"/>
    <x v="0"/>
    <x v="2"/>
    <n v="1099"/>
    <n v="599"/>
    <n v="0.54504094631483169"/>
  </r>
  <r>
    <s v="ORD99391"/>
    <d v="2025-05-23T00:00:00"/>
    <s v="Water Purifier"/>
    <x v="3"/>
    <x v="2"/>
    <n v="2"/>
    <n v="9199"/>
    <n v="7000"/>
    <x v="2"/>
    <x v="0"/>
    <n v="18398"/>
    <n v="4398"/>
    <n v="0.23904772257854115"/>
  </r>
  <r>
    <s v="ORD34568"/>
    <d v="2025-05-23T00:00:00"/>
    <s v="Boat Headphones"/>
    <x v="2"/>
    <x v="0"/>
    <n v="6"/>
    <n v="1999"/>
    <n v="1200"/>
    <x v="3"/>
    <x v="2"/>
    <n v="11994"/>
    <n v="4794"/>
    <n v="0.39969984992496249"/>
  </r>
  <r>
    <s v="ORD91457"/>
    <d v="2025-05-24T00:00:00"/>
    <s v="LED Desk Lamp"/>
    <x v="4"/>
    <x v="4"/>
    <n v="1"/>
    <n v="699"/>
    <n v="500"/>
    <x v="0"/>
    <x v="1"/>
    <n v="699"/>
    <n v="199"/>
    <n v="0.28469241773962806"/>
  </r>
  <r>
    <s v="ORD81962"/>
    <d v="2025-05-24T00:00:00"/>
    <s v="Redmi Note 13"/>
    <x v="2"/>
    <x v="0"/>
    <n v="1"/>
    <n v="15899"/>
    <n v="13500"/>
    <x v="0"/>
    <x v="1"/>
    <n v="15899"/>
    <n v="2399"/>
    <n v="0.15088999308132586"/>
  </r>
  <r>
    <s v="ORD45077"/>
    <d v="2025-05-26T00:00:00"/>
    <s v="Water Purifier"/>
    <x v="3"/>
    <x v="0"/>
    <n v="8"/>
    <n v="8899"/>
    <n v="7000"/>
    <x v="3"/>
    <x v="3"/>
    <n v="71192"/>
    <n v="15192"/>
    <n v="0.21339476345656816"/>
  </r>
  <r>
    <s v="ORD61468"/>
    <d v="2025-05-26T00:00:00"/>
    <s v="Cotton T-Shirt"/>
    <x v="1"/>
    <x v="1"/>
    <n v="4"/>
    <n v="599"/>
    <n v="350"/>
    <x v="1"/>
    <x v="3"/>
    <n v="2396"/>
    <n v="996"/>
    <n v="0.41569282136894825"/>
  </r>
  <r>
    <s v="ORD80465"/>
    <d v="2025-05-27T00:00:00"/>
    <s v="Samsung Galaxy M14"/>
    <x v="2"/>
    <x v="2"/>
    <n v="8"/>
    <n v="13099"/>
    <n v="10800"/>
    <x v="0"/>
    <x v="4"/>
    <n v="104792"/>
    <n v="18392"/>
    <n v="0.17550958088403695"/>
  </r>
  <r>
    <s v="ORD19164"/>
    <d v="2025-05-28T00:00:00"/>
    <s v="Boat Headphones"/>
    <x v="2"/>
    <x v="2"/>
    <n v="4"/>
    <n v="1999"/>
    <n v="1200"/>
    <x v="4"/>
    <x v="3"/>
    <n v="7996"/>
    <n v="3196"/>
    <n v="0.39969984992496249"/>
  </r>
  <r>
    <s v="ORD84849"/>
    <d v="2025-05-29T00:00:00"/>
    <s v="Running Shoes"/>
    <x v="1"/>
    <x v="4"/>
    <n v="6"/>
    <n v="2299"/>
    <n v="1400"/>
    <x v="4"/>
    <x v="4"/>
    <n v="13794"/>
    <n v="5394"/>
    <n v="0.39103958242714226"/>
  </r>
  <r>
    <s v="ORD69389"/>
    <d v="2025-06-02T00:00:00"/>
    <s v="Cotton T-Shirt"/>
    <x v="1"/>
    <x v="1"/>
    <n v="4"/>
    <n v="699"/>
    <n v="350"/>
    <x v="4"/>
    <x v="0"/>
    <n v="2796"/>
    <n v="1396"/>
    <n v="0.49928469241773965"/>
  </r>
  <r>
    <s v="ORD36038"/>
    <d v="2025-06-03T00:00:00"/>
    <s v="Bluetooth Speaker"/>
    <x v="2"/>
    <x v="2"/>
    <n v="5"/>
    <n v="2799"/>
    <n v="1800"/>
    <x v="1"/>
    <x v="1"/>
    <n v="13995"/>
    <n v="4995"/>
    <n v="0.35691318327974275"/>
  </r>
  <r>
    <s v="ORD66755"/>
    <d v="2025-06-06T00:00:00"/>
    <s v="Water Purifier"/>
    <x v="3"/>
    <x v="1"/>
    <n v="6"/>
    <n v="8799"/>
    <n v="7000"/>
    <x v="0"/>
    <x v="4"/>
    <n v="52794"/>
    <n v="10794"/>
    <n v="0.20445505171042164"/>
  </r>
  <r>
    <s v="ORD55634"/>
    <d v="2025-06-06T00:00:00"/>
    <s v="Office Chair"/>
    <x v="0"/>
    <x v="3"/>
    <n v="5"/>
    <n v="5299"/>
    <n v="3800"/>
    <x v="0"/>
    <x v="4"/>
    <n v="26495"/>
    <n v="7495"/>
    <n v="0.2828835629364031"/>
  </r>
  <r>
    <s v="ORD33561"/>
    <d v="2025-06-07T00:00:00"/>
    <s v="Notebook Pack"/>
    <x v="5"/>
    <x v="3"/>
    <n v="1"/>
    <n v="399"/>
    <n v="120"/>
    <x v="4"/>
    <x v="0"/>
    <n v="399"/>
    <n v="279"/>
    <n v="0.6992481203007519"/>
  </r>
  <r>
    <s v="ORD65659"/>
    <d v="2025-06-07T00:00:00"/>
    <s v="Coffee Mug"/>
    <x v="4"/>
    <x v="4"/>
    <n v="5"/>
    <n v="249"/>
    <n v="90"/>
    <x v="0"/>
    <x v="3"/>
    <n v="1245"/>
    <n v="795"/>
    <n v="0.63855421686746983"/>
  </r>
  <r>
    <s v="ORD94774"/>
    <d v="2025-06-07T00:00:00"/>
    <s v="Water Purifier"/>
    <x v="3"/>
    <x v="3"/>
    <n v="9"/>
    <n v="9199"/>
    <n v="7000"/>
    <x v="3"/>
    <x v="2"/>
    <n v="82791"/>
    <n v="19791"/>
    <n v="0.23904772257854115"/>
  </r>
  <r>
    <s v="ORD35017"/>
    <d v="2025-06-09T00:00:00"/>
    <s v="Mixer Grinder"/>
    <x v="3"/>
    <x v="3"/>
    <n v="5"/>
    <n v="3699"/>
    <n v="2500"/>
    <x v="0"/>
    <x v="4"/>
    <n v="18495"/>
    <n v="5995"/>
    <n v="0.32414165990808325"/>
  </r>
  <r>
    <s v="ORD53389"/>
    <d v="2025-06-10T00:00:00"/>
    <s v="Redmi Note 13"/>
    <x v="2"/>
    <x v="2"/>
    <n v="4"/>
    <n v="16199"/>
    <n v="13500"/>
    <x v="4"/>
    <x v="0"/>
    <n v="64796"/>
    <n v="10796"/>
    <n v="0.16661522316192356"/>
  </r>
  <r>
    <s v="ORD70552"/>
    <d v="2025-06-11T00:00:00"/>
    <s v="Coffee Mug"/>
    <x v="4"/>
    <x v="4"/>
    <n v="7"/>
    <n v="49"/>
    <n v="90"/>
    <x v="3"/>
    <x v="4"/>
    <n v="343"/>
    <n v="-287"/>
    <n v="-0.83673469387755106"/>
  </r>
  <r>
    <s v="ORD55769"/>
    <d v="2025-06-12T00:00:00"/>
    <s v="Notebook Pack"/>
    <x v="5"/>
    <x v="3"/>
    <n v="2"/>
    <n v="399"/>
    <n v="120"/>
    <x v="0"/>
    <x v="1"/>
    <n v="798"/>
    <n v="558"/>
    <n v="0.6992481203007519"/>
  </r>
  <r>
    <s v="ORD22926"/>
    <d v="2025-06-12T00:00:00"/>
    <s v="Samsung Galaxy M14"/>
    <x v="2"/>
    <x v="3"/>
    <n v="3"/>
    <n v="12999"/>
    <n v="10800"/>
    <x v="0"/>
    <x v="1"/>
    <n v="38997"/>
    <n v="6597"/>
    <n v="0.16916685898915301"/>
  </r>
  <r>
    <s v="ORD87448"/>
    <d v="2025-06-15T00:00:00"/>
    <s v="Cotton T-Shirt"/>
    <x v="1"/>
    <x v="1"/>
    <n v="6"/>
    <n v="899"/>
    <n v="350"/>
    <x v="4"/>
    <x v="3"/>
    <n v="5394"/>
    <n v="3294"/>
    <n v="0.61067853170189101"/>
  </r>
  <r>
    <s v="ORD55212"/>
    <d v="2025-06-17T00:00:00"/>
    <s v="Office Chair"/>
    <x v="0"/>
    <x v="2"/>
    <n v="5"/>
    <n v="5699"/>
    <n v="3800"/>
    <x v="0"/>
    <x v="0"/>
    <n v="28495"/>
    <n v="9495"/>
    <n v="0.33321635374627129"/>
  </r>
  <r>
    <s v="ORD39468"/>
    <d v="2025-06-23T00:00:00"/>
    <s v="LED Desk Lamp"/>
    <x v="4"/>
    <x v="2"/>
    <n v="4"/>
    <n v="1099"/>
    <n v="500"/>
    <x v="0"/>
    <x v="1"/>
    <n v="4396"/>
    <n v="2396"/>
    <n v="0.54504094631483169"/>
  </r>
  <r>
    <s v="ORD24090"/>
    <d v="2025-06-23T00:00:00"/>
    <s v="Samsung Galaxy M14"/>
    <x v="2"/>
    <x v="3"/>
    <n v="10"/>
    <n v="12899"/>
    <n v="10800"/>
    <x v="3"/>
    <x v="3"/>
    <n v="128990"/>
    <n v="20990"/>
    <n v="0.1627257926971083"/>
  </r>
  <r>
    <s v="ORD41028"/>
    <d v="2025-06-23T00:00:00"/>
    <s v="Office Chair"/>
    <x v="0"/>
    <x v="0"/>
    <n v="1"/>
    <n v="5299"/>
    <n v="3800"/>
    <x v="1"/>
    <x v="2"/>
    <n v="5299"/>
    <n v="1499"/>
    <n v="0.2828835629364031"/>
  </r>
  <r>
    <s v="ORD42141"/>
    <d v="2025-06-24T00:00:00"/>
    <s v="Printer Paper"/>
    <x v="5"/>
    <x v="3"/>
    <n v="2"/>
    <n v="499"/>
    <n v="180"/>
    <x v="0"/>
    <x v="3"/>
    <n v="998"/>
    <n v="638"/>
    <n v="0.63927855711422843"/>
  </r>
  <r>
    <s v="ORD54035"/>
    <d v="2025-06-25T00:00:00"/>
    <s v="Mixer Grinder"/>
    <x v="3"/>
    <x v="1"/>
    <n v="3"/>
    <n v="3599"/>
    <n v="2500"/>
    <x v="2"/>
    <x v="3"/>
    <n v="10797"/>
    <n v="3297"/>
    <n v="0.30536260072242288"/>
  </r>
  <r>
    <s v="ORD37082"/>
    <d v="2025-06-28T00:00:00"/>
    <s v="Water Purifier"/>
    <x v="3"/>
    <x v="2"/>
    <n v="6"/>
    <n v="8799"/>
    <n v="7000"/>
    <x v="2"/>
    <x v="1"/>
    <n v="52794"/>
    <n v="10794"/>
    <n v="0.20445505171042164"/>
  </r>
  <r>
    <s v="ORD79699"/>
    <d v="2025-06-30T00:00:00"/>
    <s v="Boat Headphones"/>
    <x v="2"/>
    <x v="3"/>
    <n v="5"/>
    <n v="1899"/>
    <n v="1200"/>
    <x v="0"/>
    <x v="0"/>
    <n v="9495"/>
    <n v="3495"/>
    <n v="0.36808846761453395"/>
  </r>
  <r>
    <s v="ORD79372"/>
    <d v="2025-07-05T00:00:00"/>
    <s v="Running Shoes"/>
    <x v="1"/>
    <x v="4"/>
    <n v="10"/>
    <n v="2699"/>
    <n v="1400"/>
    <x v="1"/>
    <x v="3"/>
    <n v="26990"/>
    <n v="12990"/>
    <n v="0.48128936643201187"/>
  </r>
  <r>
    <s v="ORD13361"/>
    <d v="2025-07-05T00:00:00"/>
    <s v="Boat Headphones"/>
    <x v="2"/>
    <x v="2"/>
    <n v="9"/>
    <n v="1799"/>
    <n v="1200"/>
    <x v="4"/>
    <x v="3"/>
    <n v="16191"/>
    <n v="5391"/>
    <n v="0.33296275708727069"/>
  </r>
  <r>
    <s v="ORD73411"/>
    <d v="2025-07-06T00:00:00"/>
    <s v="Cotton T-Shirt"/>
    <x v="1"/>
    <x v="1"/>
    <n v="4"/>
    <n v="599"/>
    <n v="350"/>
    <x v="1"/>
    <x v="1"/>
    <n v="2396"/>
    <n v="996"/>
    <n v="0.41569282136894825"/>
  </r>
  <r>
    <s v="ORD40552"/>
    <d v="2025-07-11T00:00:00"/>
    <s v="Cotton T-Shirt"/>
    <x v="1"/>
    <x v="3"/>
    <n v="2"/>
    <n v="999"/>
    <n v="350"/>
    <x v="0"/>
    <x v="1"/>
    <n v="1998"/>
    <n v="1298"/>
    <n v="0.64964964964964966"/>
  </r>
  <r>
    <s v="ORD53647"/>
    <d v="2025-07-11T00:00:00"/>
    <s v="Notebook Pack"/>
    <x v="5"/>
    <x v="1"/>
    <n v="5"/>
    <n v="99"/>
    <n v="120"/>
    <x v="2"/>
    <x v="1"/>
    <n v="495"/>
    <n v="-105"/>
    <n v="-0.21212121212121213"/>
  </r>
  <r>
    <s v="ORD87679"/>
    <d v="2025-07-17T00:00:00"/>
    <s v="Mixer Grinder"/>
    <x v="3"/>
    <x v="4"/>
    <n v="1"/>
    <n v="3299"/>
    <n v="2500"/>
    <x v="1"/>
    <x v="3"/>
    <n v="3299"/>
    <n v="799"/>
    <n v="0.24219460442558352"/>
  </r>
  <r>
    <s v="ORD22695"/>
    <d v="2025-07-20T00:00:00"/>
    <s v="Redmi Note 13"/>
    <x v="2"/>
    <x v="3"/>
    <n v="10"/>
    <n v="15999"/>
    <n v="13500"/>
    <x v="0"/>
    <x v="0"/>
    <n v="159990"/>
    <n v="24990"/>
    <n v="0.15619726232889555"/>
  </r>
  <r>
    <s v="ORD11617"/>
    <d v="2025-07-20T00:00:00"/>
    <s v="Bluetooth Speaker"/>
    <x v="2"/>
    <x v="3"/>
    <n v="2"/>
    <n v="3099"/>
    <n v="1800"/>
    <x v="3"/>
    <x v="1"/>
    <n v="6198"/>
    <n v="2598"/>
    <n v="0.41916747337850918"/>
  </r>
  <r>
    <s v="ORD56563"/>
    <d v="2025-07-22T00:00:00"/>
    <s v="Bluetooth Speaker"/>
    <x v="2"/>
    <x v="0"/>
    <n v="7"/>
    <n v="3099"/>
    <n v="1800"/>
    <x v="4"/>
    <x v="3"/>
    <n v="21693"/>
    <n v="9093"/>
    <n v="0.41916747337850918"/>
  </r>
  <r>
    <s v="ORD97848"/>
    <d v="2025-07-23T00:00:00"/>
    <s v="Boat Headphones"/>
    <x v="2"/>
    <x v="2"/>
    <n v="4"/>
    <n v="1799"/>
    <n v="1200"/>
    <x v="0"/>
    <x v="2"/>
    <n v="7196"/>
    <n v="2396"/>
    <n v="0.33296275708727069"/>
  </r>
  <r>
    <s v="ORD91030"/>
    <d v="2025-07-25T00:00:00"/>
    <s v="Samsung Galaxy M14"/>
    <x v="2"/>
    <x v="4"/>
    <n v="3"/>
    <n v="12799"/>
    <n v="10800"/>
    <x v="0"/>
    <x v="3"/>
    <n v="38397"/>
    <n v="5997"/>
    <n v="0.15618407688100633"/>
  </r>
  <r>
    <s v="ORD51653"/>
    <d v="2025-07-27T00:00:00"/>
    <s v="Water Purifier"/>
    <x v="3"/>
    <x v="2"/>
    <n v="8"/>
    <n v="8799"/>
    <n v="7000"/>
    <x v="2"/>
    <x v="1"/>
    <n v="70392"/>
    <n v="14392"/>
    <n v="0.20445505171042164"/>
  </r>
  <r>
    <s v="ORD21037"/>
    <d v="2025-07-27T00:00:00"/>
    <s v="Printer Paper"/>
    <x v="5"/>
    <x v="3"/>
    <n v="1"/>
    <n v="499"/>
    <n v="180"/>
    <x v="0"/>
    <x v="2"/>
    <n v="499"/>
    <n v="319"/>
    <n v="0.63927855711422843"/>
  </r>
  <r>
    <s v="ORD21642"/>
    <d v="2025-07-28T00:00:00"/>
    <s v="Smart Watch"/>
    <x v="2"/>
    <x v="3"/>
    <n v="8"/>
    <n v="3499"/>
    <n v="2400"/>
    <x v="0"/>
    <x v="3"/>
    <n v="27992"/>
    <n v="8792"/>
    <n v="0.31408973992569306"/>
  </r>
  <r>
    <s v="ORD71869"/>
    <d v="2025-07-29T00:00:00"/>
    <s v="Printer Paper"/>
    <x v="5"/>
    <x v="0"/>
    <n v="3"/>
    <n v="199"/>
    <n v="180"/>
    <x v="1"/>
    <x v="3"/>
    <n v="597"/>
    <n v="57"/>
    <n v="9.5477386934673364E-2"/>
  </r>
  <r>
    <s v="ORD91683"/>
    <d v="2025-07-30T00:00:00"/>
    <s v="Printer Paper"/>
    <x v="5"/>
    <x v="2"/>
    <n v="10"/>
    <n v="299"/>
    <n v="180"/>
    <x v="2"/>
    <x v="2"/>
    <n v="2990"/>
    <n v="1190"/>
    <n v="0.39799331103678931"/>
  </r>
  <r>
    <s v="ORD82387"/>
    <d v="2025-08-01T00:00:00"/>
    <s v="Redmi Note 13"/>
    <x v="2"/>
    <x v="4"/>
    <n v="10"/>
    <n v="16199"/>
    <n v="13500"/>
    <x v="4"/>
    <x v="1"/>
    <n v="161990"/>
    <n v="26990"/>
    <n v="0.16661522316192356"/>
  </r>
  <r>
    <s v="ORD27899"/>
    <d v="2025-08-02T00:00:00"/>
    <s v="Bluetooth Speaker"/>
    <x v="2"/>
    <x v="1"/>
    <n v="9"/>
    <n v="2999"/>
    <n v="1800"/>
    <x v="0"/>
    <x v="2"/>
    <n v="26991"/>
    <n v="10791"/>
    <n v="0.39979993331110369"/>
  </r>
  <r>
    <s v="ORD74440"/>
    <d v="2025-08-02T00:00:00"/>
    <s v="LED Desk Lamp"/>
    <x v="4"/>
    <x v="3"/>
    <n v="5"/>
    <n v="699"/>
    <n v="500"/>
    <x v="0"/>
    <x v="2"/>
    <n v="3495"/>
    <n v="995"/>
    <n v="0.28469241773962806"/>
  </r>
  <r>
    <s v="ORD79749"/>
    <d v="2025-08-04T00:00:00"/>
    <s v="Printer Paper"/>
    <x v="5"/>
    <x v="4"/>
    <n v="1"/>
    <n v="199"/>
    <n v="180"/>
    <x v="2"/>
    <x v="4"/>
    <n v="199"/>
    <n v="19"/>
    <n v="9.5477386934673364E-2"/>
  </r>
  <r>
    <s v="ORD26096"/>
    <d v="2025-08-07T00:00:00"/>
    <s v="Coffee Mug"/>
    <x v="4"/>
    <x v="0"/>
    <n v="2"/>
    <n v="449"/>
    <n v="90"/>
    <x v="0"/>
    <x v="1"/>
    <n v="898"/>
    <n v="718"/>
    <n v="0.79955456570155903"/>
  </r>
  <r>
    <s v="ORD67792"/>
    <d v="2025-08-07T00:00:00"/>
    <s v="Water Purifier"/>
    <x v="3"/>
    <x v="3"/>
    <n v="6"/>
    <n v="8899"/>
    <n v="7000"/>
    <x v="0"/>
    <x v="1"/>
    <n v="53394"/>
    <n v="11394"/>
    <n v="0.21339476345656816"/>
  </r>
  <r>
    <s v="ORD27861"/>
    <d v="2025-08-08T00:00:00"/>
    <s v="Study Table"/>
    <x v="0"/>
    <x v="0"/>
    <n v="2"/>
    <n v="7099"/>
    <n v="5000"/>
    <x v="0"/>
    <x v="1"/>
    <n v="14198"/>
    <n v="4198"/>
    <n v="0.29567544724609102"/>
  </r>
  <r>
    <s v="ORD11609"/>
    <d v="2025-08-09T00:00:00"/>
    <s v="Water Purifier"/>
    <x v="3"/>
    <x v="3"/>
    <n v="3"/>
    <n v="8799"/>
    <n v="7000"/>
    <x v="3"/>
    <x v="0"/>
    <n v="26397"/>
    <n v="5397"/>
    <n v="0.20445505171042164"/>
  </r>
  <r>
    <s v="ORD84273"/>
    <d v="2025-08-10T00:00:00"/>
    <s v="Study Table"/>
    <x v="0"/>
    <x v="2"/>
    <n v="2"/>
    <n v="6999"/>
    <n v="5000"/>
    <x v="3"/>
    <x v="3"/>
    <n v="13998"/>
    <n v="3998"/>
    <n v="0.28561223031861693"/>
  </r>
  <r>
    <s v="ORD17603"/>
    <d v="2025-08-11T00:00:00"/>
    <s v="Cotton T-Shirt"/>
    <x v="1"/>
    <x v="3"/>
    <n v="9"/>
    <n v="699"/>
    <n v="350"/>
    <x v="4"/>
    <x v="1"/>
    <n v="6291"/>
    <n v="3141"/>
    <n v="0.49928469241773965"/>
  </r>
  <r>
    <s v="ORD78263"/>
    <d v="2025-08-12T00:00:00"/>
    <s v="Water Purifier"/>
    <x v="3"/>
    <x v="3"/>
    <n v="2"/>
    <n v="8799"/>
    <n v="7000"/>
    <x v="4"/>
    <x v="2"/>
    <n v="17598"/>
    <n v="3598"/>
    <n v="0.20445505171042164"/>
  </r>
  <r>
    <s v="ORD26835"/>
    <d v="2025-08-13T00:00:00"/>
    <s v="Printer Paper"/>
    <x v="5"/>
    <x v="4"/>
    <n v="7"/>
    <n v="599"/>
    <n v="180"/>
    <x v="0"/>
    <x v="2"/>
    <n v="4193"/>
    <n v="2933"/>
    <n v="0.69949916527545908"/>
  </r>
  <r>
    <s v="ORD98342"/>
    <d v="2025-08-13T00:00:00"/>
    <s v="Study Table"/>
    <x v="0"/>
    <x v="4"/>
    <n v="7"/>
    <n v="7199"/>
    <n v="5000"/>
    <x v="0"/>
    <x v="0"/>
    <n v="50393"/>
    <n v="15393"/>
    <n v="0.30545909154049172"/>
  </r>
  <r>
    <s v="ORD64433"/>
    <d v="2025-08-14T00:00:00"/>
    <s v="Notebook Pack"/>
    <x v="5"/>
    <x v="1"/>
    <n v="3"/>
    <n v="299"/>
    <n v="120"/>
    <x v="3"/>
    <x v="1"/>
    <n v="897"/>
    <n v="537"/>
    <n v="0.59866220735785958"/>
  </r>
  <r>
    <s v="ORD56440"/>
    <d v="2025-08-14T00:00:00"/>
    <s v="Running Shoes"/>
    <x v="1"/>
    <x v="1"/>
    <n v="10"/>
    <n v="2499"/>
    <n v="1400"/>
    <x v="0"/>
    <x v="3"/>
    <n v="24990"/>
    <n v="10990"/>
    <n v="0.43977591036414565"/>
  </r>
  <r>
    <s v="ORD97469"/>
    <d v="2025-08-15T00:00:00"/>
    <s v="Notebook Pack"/>
    <x v="5"/>
    <x v="0"/>
    <n v="2"/>
    <n v="499"/>
    <n v="120"/>
    <x v="3"/>
    <x v="3"/>
    <n v="998"/>
    <n v="758"/>
    <n v="0.75951903807615229"/>
  </r>
  <r>
    <s v="ORD95900"/>
    <d v="2025-08-15T00:00:00"/>
    <s v="Water Purifier"/>
    <x v="3"/>
    <x v="2"/>
    <n v="8"/>
    <n v="8899"/>
    <n v="7000"/>
    <x v="4"/>
    <x v="0"/>
    <n v="71192"/>
    <n v="15192"/>
    <n v="0.21339476345656816"/>
  </r>
  <r>
    <s v="ORD99420"/>
    <d v="2025-08-16T00:00:00"/>
    <s v="Redmi Note 13"/>
    <x v="2"/>
    <x v="0"/>
    <n v="7"/>
    <n v="15999"/>
    <n v="13500"/>
    <x v="3"/>
    <x v="4"/>
    <n v="111993"/>
    <n v="17493"/>
    <n v="0.15619726232889555"/>
  </r>
  <r>
    <s v="ORD99075"/>
    <d v="2025-08-19T00:00:00"/>
    <s v="Redmi Note 13"/>
    <x v="2"/>
    <x v="2"/>
    <n v="1"/>
    <n v="15999"/>
    <n v="13500"/>
    <x v="4"/>
    <x v="0"/>
    <n v="15999"/>
    <n v="2499"/>
    <n v="0.15619726232889555"/>
  </r>
  <r>
    <s v="ORD26215"/>
    <d v="2025-08-19T00:00:00"/>
    <s v="LED Desk Lamp"/>
    <x v="4"/>
    <x v="2"/>
    <n v="1"/>
    <n v="799"/>
    <n v="500"/>
    <x v="2"/>
    <x v="1"/>
    <n v="799"/>
    <n v="299"/>
    <n v="0.37421777221526908"/>
  </r>
  <r>
    <s v="ORD30032"/>
    <d v="2025-08-20T00:00:00"/>
    <s v="Cotton T-Shirt"/>
    <x v="1"/>
    <x v="1"/>
    <n v="3"/>
    <n v="599"/>
    <n v="350"/>
    <x v="1"/>
    <x v="1"/>
    <n v="1797"/>
    <n v="747"/>
    <n v="0.41569282136894825"/>
  </r>
  <r>
    <s v="ORD11452"/>
    <d v="2025-08-21T00:00:00"/>
    <s v="Cotton T-Shirt"/>
    <x v="1"/>
    <x v="0"/>
    <n v="1"/>
    <n v="599"/>
    <n v="350"/>
    <x v="1"/>
    <x v="1"/>
    <n v="599"/>
    <n v="249"/>
    <n v="0.41569282136894825"/>
  </r>
  <r>
    <s v="ORD43520"/>
    <d v="2025-08-21T00:00:00"/>
    <s v="Bluetooth Speaker"/>
    <x v="2"/>
    <x v="4"/>
    <n v="10"/>
    <n v="3099"/>
    <n v="1800"/>
    <x v="4"/>
    <x v="3"/>
    <n v="30990"/>
    <n v="12990"/>
    <n v="0.41916747337850918"/>
  </r>
  <r>
    <s v="ORD58336"/>
    <d v="2025-08-22T00:00:00"/>
    <s v="Mixer Grinder"/>
    <x v="3"/>
    <x v="1"/>
    <n v="10"/>
    <n v="3399"/>
    <n v="2500"/>
    <x v="2"/>
    <x v="4"/>
    <n v="33990"/>
    <n v="8990"/>
    <n v="0.2644895557516917"/>
  </r>
  <r>
    <s v="ORD89122"/>
    <d v="2025-08-22T00:00:00"/>
    <s v="Boat Headphones"/>
    <x v="2"/>
    <x v="2"/>
    <n v="7"/>
    <n v="2199"/>
    <n v="1200"/>
    <x v="0"/>
    <x v="3"/>
    <n v="15393"/>
    <n v="6993"/>
    <n v="0.45429740791268758"/>
  </r>
  <r>
    <s v="ORD72731"/>
    <d v="2025-08-23T00:00:00"/>
    <s v="Redmi Note 13"/>
    <x v="2"/>
    <x v="2"/>
    <n v="2"/>
    <n v="15999"/>
    <n v="13500"/>
    <x v="3"/>
    <x v="2"/>
    <n v="31998"/>
    <n v="4998"/>
    <n v="0.15619726232889555"/>
  </r>
  <r>
    <s v="ORD72297"/>
    <d v="2025-08-24T00:00:00"/>
    <s v="Bluetooth Speaker"/>
    <x v="2"/>
    <x v="2"/>
    <n v="3"/>
    <n v="2899"/>
    <n v="1800"/>
    <x v="3"/>
    <x v="3"/>
    <n v="8697"/>
    <n v="3297"/>
    <n v="0.37909624008278719"/>
  </r>
  <r>
    <s v="ORD31565"/>
    <d v="2025-08-24T00:00:00"/>
    <s v="Notebook Pack"/>
    <x v="5"/>
    <x v="1"/>
    <n v="10"/>
    <n v="399"/>
    <n v="120"/>
    <x v="1"/>
    <x v="3"/>
    <n v="3990"/>
    <n v="2790"/>
    <n v="0.6992481203007519"/>
  </r>
  <r>
    <s v="ORD49914"/>
    <d v="2025-08-26T00:00:00"/>
    <s v="Study Table"/>
    <x v="0"/>
    <x v="1"/>
    <n v="1"/>
    <n v="7199"/>
    <n v="5000"/>
    <x v="0"/>
    <x v="3"/>
    <n v="7199"/>
    <n v="2199"/>
    <n v="0.30545909154049172"/>
  </r>
  <r>
    <s v="ORD13596"/>
    <d v="2025-08-31T00:00:00"/>
    <s v="Printer Paper"/>
    <x v="5"/>
    <x v="3"/>
    <n v="5"/>
    <n v="299"/>
    <n v="180"/>
    <x v="0"/>
    <x v="4"/>
    <n v="1495"/>
    <n v="595"/>
    <n v="0.39799331103678931"/>
  </r>
  <r>
    <s v="ORD42076"/>
    <d v="2025-09-02T00:00:00"/>
    <s v="Mixer Grinder"/>
    <x v="3"/>
    <x v="2"/>
    <n v="9"/>
    <n v="3599"/>
    <n v="2500"/>
    <x v="0"/>
    <x v="2"/>
    <n v="32391"/>
    <n v="9891"/>
    <n v="0.30536260072242288"/>
  </r>
  <r>
    <s v="ORD27684"/>
    <d v="2025-09-02T00:00:00"/>
    <s v="Redmi Note 13"/>
    <x v="2"/>
    <x v="2"/>
    <n v="9"/>
    <n v="16199"/>
    <n v="13500"/>
    <x v="3"/>
    <x v="4"/>
    <n v="145791"/>
    <n v="24291"/>
    <n v="0.16661522316192356"/>
  </r>
  <r>
    <s v="ORD27960"/>
    <d v="2025-09-06T00:00:00"/>
    <s v="Running Shoes"/>
    <x v="1"/>
    <x v="4"/>
    <n v="10"/>
    <n v="2599"/>
    <n v="1400"/>
    <x v="4"/>
    <x v="1"/>
    <n v="25990"/>
    <n v="11990"/>
    <n v="0.46133128126202383"/>
  </r>
  <r>
    <s v="ORD78309"/>
    <d v="2025-09-09T00:00:00"/>
    <s v="Water Purifier"/>
    <x v="3"/>
    <x v="4"/>
    <n v="4"/>
    <n v="9099"/>
    <n v="7000"/>
    <x v="0"/>
    <x v="2"/>
    <n v="36396"/>
    <n v="8396"/>
    <n v="0.23068469062534344"/>
  </r>
  <r>
    <s v="ORD55423"/>
    <d v="2025-09-09T00:00:00"/>
    <s v="Printer Paper"/>
    <x v="5"/>
    <x v="3"/>
    <n v="6"/>
    <n v="399"/>
    <n v="180"/>
    <x v="0"/>
    <x v="0"/>
    <n v="2394"/>
    <n v="1314"/>
    <n v="0.54887218045112784"/>
  </r>
  <r>
    <s v="ORD63062"/>
    <d v="2025-09-10T00:00:00"/>
    <s v="Cotton T-Shirt"/>
    <x v="1"/>
    <x v="3"/>
    <n v="1"/>
    <n v="699"/>
    <n v="350"/>
    <x v="1"/>
    <x v="4"/>
    <n v="699"/>
    <n v="349"/>
    <n v="0.49928469241773965"/>
  </r>
  <r>
    <s v="ORD39567"/>
    <d v="2025-09-12T00:00:00"/>
    <s v="Water Purifier"/>
    <x v="3"/>
    <x v="3"/>
    <n v="1"/>
    <n v="8799"/>
    <n v="7000"/>
    <x v="1"/>
    <x v="3"/>
    <n v="8799"/>
    <n v="1799"/>
    <n v="0.20445505171042164"/>
  </r>
  <r>
    <s v="ORD92446"/>
    <d v="2025-09-15T00:00:00"/>
    <s v="Smart Watch"/>
    <x v="2"/>
    <x v="1"/>
    <n v="7"/>
    <n v="3599"/>
    <n v="2400"/>
    <x v="0"/>
    <x v="3"/>
    <n v="25193"/>
    <n v="8393"/>
    <n v="0.33314809669352596"/>
  </r>
  <r>
    <s v="ORD72423"/>
    <d v="2025-09-16T00:00:00"/>
    <s v="Mixer Grinder"/>
    <x v="3"/>
    <x v="1"/>
    <n v="1"/>
    <n v="3599"/>
    <n v="2500"/>
    <x v="3"/>
    <x v="0"/>
    <n v="3599"/>
    <n v="1099"/>
    <n v="0.30536260072242288"/>
  </r>
  <r>
    <s v="ORD30297"/>
    <d v="2025-09-17T00:00:00"/>
    <s v="Bluetooth Speaker"/>
    <x v="2"/>
    <x v="2"/>
    <n v="1"/>
    <n v="2799"/>
    <n v="1800"/>
    <x v="0"/>
    <x v="4"/>
    <n v="2799"/>
    <n v="999"/>
    <n v="0.35691318327974275"/>
  </r>
  <r>
    <s v="ORD75400"/>
    <d v="2025-09-21T00:00:00"/>
    <s v="Printer Paper"/>
    <x v="5"/>
    <x v="2"/>
    <n v="9"/>
    <n v="499"/>
    <n v="180"/>
    <x v="3"/>
    <x v="2"/>
    <n v="4491"/>
    <n v="2871"/>
    <n v="0.63927855711422843"/>
  </r>
  <r>
    <s v="ORD36031"/>
    <d v="2025-09-23T00:00:00"/>
    <s v="Boat Headphones"/>
    <x v="2"/>
    <x v="3"/>
    <n v="5"/>
    <n v="1799"/>
    <n v="1200"/>
    <x v="1"/>
    <x v="3"/>
    <n v="8995"/>
    <n v="2995"/>
    <n v="0.33296275708727069"/>
  </r>
  <r>
    <s v="ORD55714"/>
    <d v="2025-09-23T00:00:00"/>
    <s v="Bluetooth Speaker"/>
    <x v="2"/>
    <x v="0"/>
    <n v="8"/>
    <n v="3199"/>
    <n v="1800"/>
    <x v="3"/>
    <x v="0"/>
    <n v="25592"/>
    <n v="11192"/>
    <n v="0.43732416380118788"/>
  </r>
  <r>
    <s v="ORD64638"/>
    <d v="2025-09-27T00:00:00"/>
    <s v="Smart Watch"/>
    <x v="2"/>
    <x v="0"/>
    <n v="10"/>
    <n v="3399"/>
    <n v="2400"/>
    <x v="3"/>
    <x v="3"/>
    <n v="33990"/>
    <n v="9990"/>
    <n v="0.29390997352162401"/>
  </r>
  <r>
    <s v="ORD51224"/>
    <d v="2025-09-30T00:00:00"/>
    <s v="Boat Headphones"/>
    <x v="2"/>
    <x v="0"/>
    <n v="10"/>
    <n v="2099"/>
    <n v="1200"/>
    <x v="0"/>
    <x v="4"/>
    <n v="20990"/>
    <n v="8990"/>
    <n v="0.42829919009051931"/>
  </r>
  <r>
    <s v="ORD50082"/>
    <d v="2025-10-01T00:00:00"/>
    <s v="Redmi Note 13"/>
    <x v="2"/>
    <x v="2"/>
    <n v="8"/>
    <n v="16199"/>
    <n v="13500"/>
    <x v="0"/>
    <x v="4"/>
    <n v="129592"/>
    <n v="21592"/>
    <n v="0.16661522316192356"/>
  </r>
  <r>
    <s v="ORD87899"/>
    <d v="2025-10-03T00:00:00"/>
    <s v="Bluetooth Speaker"/>
    <x v="2"/>
    <x v="3"/>
    <n v="4"/>
    <n v="3099"/>
    <n v="1800"/>
    <x v="3"/>
    <x v="0"/>
    <n v="12396"/>
    <n v="5196"/>
    <n v="0.41916747337850918"/>
  </r>
  <r>
    <s v="ORD14300"/>
    <d v="2025-10-04T00:00:00"/>
    <s v="Office Chair"/>
    <x v="0"/>
    <x v="3"/>
    <n v="10"/>
    <n v="5599"/>
    <n v="3800"/>
    <x v="0"/>
    <x v="3"/>
    <n v="55990"/>
    <n v="17990"/>
    <n v="0.32130737631719952"/>
  </r>
  <r>
    <s v="ORD31922"/>
    <d v="2025-10-04T00:00:00"/>
    <s v="LED Desk Lamp"/>
    <x v="4"/>
    <x v="0"/>
    <n v="1"/>
    <n v="799"/>
    <n v="500"/>
    <x v="0"/>
    <x v="2"/>
    <n v="799"/>
    <n v="299"/>
    <n v="0.37421777221526908"/>
  </r>
  <r>
    <s v="ORD76149"/>
    <d v="2025-10-05T00:00:00"/>
    <s v="LED Desk Lamp"/>
    <x v="4"/>
    <x v="1"/>
    <n v="10"/>
    <n v="899"/>
    <n v="500"/>
    <x v="2"/>
    <x v="4"/>
    <n v="8990"/>
    <n v="3990"/>
    <n v="0.44382647385984425"/>
  </r>
  <r>
    <s v="ORD43454"/>
    <d v="2025-10-05T00:00:00"/>
    <s v="Water Purifier"/>
    <x v="3"/>
    <x v="3"/>
    <n v="7"/>
    <n v="8999"/>
    <n v="7000"/>
    <x v="0"/>
    <x v="2"/>
    <n v="62993"/>
    <n v="13993"/>
    <n v="0.22213579286587398"/>
  </r>
  <r>
    <s v="ORD51142"/>
    <d v="2025-10-06T00:00:00"/>
    <s v="Bluetooth Speaker"/>
    <x v="2"/>
    <x v="0"/>
    <n v="2"/>
    <n v="3099"/>
    <n v="1800"/>
    <x v="2"/>
    <x v="3"/>
    <n v="6198"/>
    <n v="2598"/>
    <n v="0.41916747337850918"/>
  </r>
  <r>
    <s v="ORD27329"/>
    <d v="2025-10-06T00:00:00"/>
    <s v="Boat Headphones"/>
    <x v="2"/>
    <x v="2"/>
    <n v="9"/>
    <n v="1799"/>
    <n v="1200"/>
    <x v="4"/>
    <x v="3"/>
    <n v="16191"/>
    <n v="5391"/>
    <n v="0.33296275708727069"/>
  </r>
  <r>
    <s v="ORD44094"/>
    <d v="2025-10-06T00:00:00"/>
    <s v="Samsung Galaxy M14"/>
    <x v="2"/>
    <x v="1"/>
    <n v="9"/>
    <n v="12799"/>
    <n v="10800"/>
    <x v="1"/>
    <x v="1"/>
    <n v="115191"/>
    <n v="17991"/>
    <n v="0.15618407688100633"/>
  </r>
  <r>
    <s v="ORD49936"/>
    <d v="2025-10-06T00:00:00"/>
    <s v="Redmi Note 13"/>
    <x v="2"/>
    <x v="1"/>
    <n v="8"/>
    <n v="15999"/>
    <n v="13500"/>
    <x v="0"/>
    <x v="1"/>
    <n v="127992"/>
    <n v="19992"/>
    <n v="0.15619726232889555"/>
  </r>
  <r>
    <s v="ORD80181"/>
    <d v="2025-10-07T00:00:00"/>
    <s v="Coffee Mug"/>
    <x v="4"/>
    <x v="2"/>
    <n v="8"/>
    <n v="249"/>
    <n v="90"/>
    <x v="1"/>
    <x v="3"/>
    <n v="1992"/>
    <n v="1272"/>
    <n v="0.63855421686746983"/>
  </r>
  <r>
    <s v="ORD25289"/>
    <d v="2025-10-11T00:00:00"/>
    <s v="Samsung Galaxy M14"/>
    <x v="2"/>
    <x v="1"/>
    <n v="4"/>
    <n v="13199"/>
    <n v="10800"/>
    <x v="0"/>
    <x v="3"/>
    <n v="52796"/>
    <n v="9596"/>
    <n v="0.18175619365103418"/>
  </r>
  <r>
    <s v="ORD90251"/>
    <d v="2025-10-13T00:00:00"/>
    <s v="Samsung Galaxy M14"/>
    <x v="2"/>
    <x v="0"/>
    <n v="9"/>
    <n v="12899"/>
    <n v="10800"/>
    <x v="0"/>
    <x v="1"/>
    <n v="116091"/>
    <n v="18891"/>
    <n v="0.1627257926971083"/>
  </r>
  <r>
    <s v="ORD15984"/>
    <d v="2025-10-15T00:00:00"/>
    <s v="Printer Paper"/>
    <x v="5"/>
    <x v="4"/>
    <n v="9"/>
    <n v="399"/>
    <n v="180"/>
    <x v="0"/>
    <x v="2"/>
    <n v="3591"/>
    <n v="1971"/>
    <n v="0.54887218045112784"/>
  </r>
  <r>
    <s v="ORD65314"/>
    <d v="2025-10-15T00:00:00"/>
    <s v="Mixer Grinder"/>
    <x v="3"/>
    <x v="3"/>
    <n v="4"/>
    <n v="3299"/>
    <n v="2500"/>
    <x v="0"/>
    <x v="1"/>
    <n v="13196"/>
    <n v="3196"/>
    <n v="0.24219460442558352"/>
  </r>
  <r>
    <s v="ORD56522"/>
    <d v="2025-10-16T00:00:00"/>
    <s v="Bluetooth Speaker"/>
    <x v="2"/>
    <x v="3"/>
    <n v="10"/>
    <n v="3099"/>
    <n v="1800"/>
    <x v="0"/>
    <x v="2"/>
    <n v="30990"/>
    <n v="12990"/>
    <n v="0.41916747337850918"/>
  </r>
  <r>
    <s v="ORD98195"/>
    <d v="2025-10-23T00:00:00"/>
    <s v="Mixer Grinder"/>
    <x v="3"/>
    <x v="2"/>
    <n v="10"/>
    <n v="3699"/>
    <n v="2500"/>
    <x v="0"/>
    <x v="3"/>
    <n v="36990"/>
    <n v="11990"/>
    <n v="0.32414165990808325"/>
  </r>
  <r>
    <s v="ORD22714"/>
    <d v="2025-10-23T00:00:00"/>
    <s v="Redmi Note 13"/>
    <x v="2"/>
    <x v="2"/>
    <n v="5"/>
    <n v="16199"/>
    <n v="13500"/>
    <x v="2"/>
    <x v="4"/>
    <n v="80995"/>
    <n v="13495"/>
    <n v="0.16661522316192356"/>
  </r>
  <r>
    <s v="ORD77924"/>
    <d v="2025-10-25T00:00:00"/>
    <s v="Running Shoes"/>
    <x v="1"/>
    <x v="0"/>
    <n v="5"/>
    <n v="2299"/>
    <n v="1400"/>
    <x v="4"/>
    <x v="3"/>
    <n v="11495"/>
    <n v="4495"/>
    <n v="0.39103958242714226"/>
  </r>
  <r>
    <s v="ORD47169"/>
    <d v="2025-10-26T00:00:00"/>
    <s v="Redmi Note 13"/>
    <x v="2"/>
    <x v="3"/>
    <n v="1"/>
    <n v="15899"/>
    <n v="13500"/>
    <x v="4"/>
    <x v="4"/>
    <n v="15899"/>
    <n v="2399"/>
    <n v="0.15088999308132586"/>
  </r>
  <r>
    <s v="ORD10414"/>
    <d v="2025-10-27T00:00:00"/>
    <s v="Running Shoes"/>
    <x v="1"/>
    <x v="0"/>
    <n v="7"/>
    <n v="2699"/>
    <n v="1400"/>
    <x v="1"/>
    <x v="0"/>
    <n v="18893"/>
    <n v="9093"/>
    <n v="0.48128936643201187"/>
  </r>
  <r>
    <s v="ORD85290"/>
    <d v="2025-10-28T00:00:00"/>
    <s v="Bluetooth Speaker"/>
    <x v="2"/>
    <x v="0"/>
    <n v="6"/>
    <n v="2999"/>
    <n v="1800"/>
    <x v="3"/>
    <x v="1"/>
    <n v="17994"/>
    <n v="7194"/>
    <n v="0.39979993331110369"/>
  </r>
  <r>
    <s v="ORD33341"/>
    <d v="2025-11-01T00:00:00"/>
    <s v="Study Table"/>
    <x v="0"/>
    <x v="2"/>
    <n v="9"/>
    <n v="6999"/>
    <n v="5000"/>
    <x v="0"/>
    <x v="3"/>
    <n v="62991"/>
    <n v="17991"/>
    <n v="0.28561223031861693"/>
  </r>
  <r>
    <s v="ORD66476"/>
    <d v="2025-11-01T00:00:00"/>
    <s v="Study Table"/>
    <x v="0"/>
    <x v="0"/>
    <n v="5"/>
    <n v="6799"/>
    <n v="5000"/>
    <x v="0"/>
    <x v="2"/>
    <n v="33995"/>
    <n v="8995"/>
    <n v="0.26459773496102368"/>
  </r>
  <r>
    <s v="ORD20938"/>
    <d v="2025-11-01T00:00:00"/>
    <s v="Notebook Pack"/>
    <x v="5"/>
    <x v="4"/>
    <n v="9"/>
    <n v="99"/>
    <n v="120"/>
    <x v="1"/>
    <x v="1"/>
    <n v="891"/>
    <n v="-189"/>
    <n v="-0.21212121212121213"/>
  </r>
  <r>
    <s v="ORD91636"/>
    <d v="2025-11-03T00:00:00"/>
    <s v="Cotton T-Shirt"/>
    <x v="1"/>
    <x v="2"/>
    <n v="8"/>
    <n v="899"/>
    <n v="350"/>
    <x v="1"/>
    <x v="3"/>
    <n v="7192"/>
    <n v="4392"/>
    <n v="0.61067853170189101"/>
  </r>
  <r>
    <s v="ORD35859"/>
    <d v="2025-11-04T00:00:00"/>
    <s v="Boat Headphones"/>
    <x v="2"/>
    <x v="3"/>
    <n v="4"/>
    <n v="2099"/>
    <n v="1200"/>
    <x v="0"/>
    <x v="1"/>
    <n v="8396"/>
    <n v="3596"/>
    <n v="0.42829919009051931"/>
  </r>
  <r>
    <s v="ORD16830"/>
    <d v="2025-11-05T00:00:00"/>
    <s v="LED Desk Lamp"/>
    <x v="4"/>
    <x v="2"/>
    <n v="9"/>
    <n v="1099"/>
    <n v="500"/>
    <x v="1"/>
    <x v="1"/>
    <n v="9891"/>
    <n v="5391"/>
    <n v="0.54504094631483169"/>
  </r>
  <r>
    <s v="ORD10215"/>
    <d v="2025-11-06T00:00:00"/>
    <s v="Smart Watch"/>
    <x v="2"/>
    <x v="2"/>
    <n v="1"/>
    <n v="3499"/>
    <n v="2400"/>
    <x v="0"/>
    <x v="4"/>
    <n v="3499"/>
    <n v="1099"/>
    <n v="0.31408973992569306"/>
  </r>
  <r>
    <s v="ORD24349"/>
    <d v="2025-11-07T00:00:00"/>
    <s v="Printer Paper"/>
    <x v="5"/>
    <x v="2"/>
    <n v="8"/>
    <n v="499"/>
    <n v="180"/>
    <x v="1"/>
    <x v="1"/>
    <n v="3992"/>
    <n v="2552"/>
    <n v="0.63927855711422843"/>
  </r>
  <r>
    <s v="ORD44392"/>
    <d v="2025-11-07T00:00:00"/>
    <s v="Cotton T-Shirt"/>
    <x v="1"/>
    <x v="3"/>
    <n v="7"/>
    <n v="599"/>
    <n v="350"/>
    <x v="0"/>
    <x v="3"/>
    <n v="4193"/>
    <n v="1743"/>
    <n v="0.41569282136894825"/>
  </r>
  <r>
    <s v="ORD99187"/>
    <d v="2025-11-08T00:00:00"/>
    <s v="Coffee Mug"/>
    <x v="4"/>
    <x v="2"/>
    <n v="2"/>
    <n v="349"/>
    <n v="90"/>
    <x v="1"/>
    <x v="1"/>
    <n v="698"/>
    <n v="518"/>
    <n v="0.74212034383954151"/>
  </r>
  <r>
    <s v="ORD28006"/>
    <d v="2025-11-09T00:00:00"/>
    <s v="Water Purifier"/>
    <x v="3"/>
    <x v="4"/>
    <n v="10"/>
    <n v="8799"/>
    <n v="7000"/>
    <x v="0"/>
    <x v="3"/>
    <n v="87990"/>
    <n v="17990"/>
    <n v="0.20445505171042164"/>
  </r>
  <r>
    <s v="ORD18740"/>
    <d v="2025-11-10T00:00:00"/>
    <s v="Boat Headphones"/>
    <x v="2"/>
    <x v="3"/>
    <n v="1"/>
    <n v="1899"/>
    <n v="1200"/>
    <x v="0"/>
    <x v="3"/>
    <n v="1899"/>
    <n v="699"/>
    <n v="0.36808846761453395"/>
  </r>
  <r>
    <s v="ORD51590"/>
    <d v="2025-11-12T00:00:00"/>
    <s v="Redmi Note 13"/>
    <x v="2"/>
    <x v="2"/>
    <n v="6"/>
    <n v="16099"/>
    <n v="13500"/>
    <x v="0"/>
    <x v="1"/>
    <n v="96594"/>
    <n v="15594"/>
    <n v="0.16143859867072488"/>
  </r>
  <r>
    <s v="ORD71505"/>
    <d v="2025-11-15T00:00:00"/>
    <s v="Study Table"/>
    <x v="0"/>
    <x v="1"/>
    <n v="3"/>
    <n v="7199"/>
    <n v="5000"/>
    <x v="0"/>
    <x v="3"/>
    <n v="21597"/>
    <n v="6597"/>
    <n v="0.30545909154049172"/>
  </r>
  <r>
    <s v="ORD63882"/>
    <d v="2025-11-20T00:00:00"/>
    <s v="Samsung Galaxy M14"/>
    <x v="2"/>
    <x v="2"/>
    <n v="5"/>
    <n v="13199"/>
    <n v="10800"/>
    <x v="0"/>
    <x v="0"/>
    <n v="65995"/>
    <n v="11995"/>
    <n v="0.18175619365103418"/>
  </r>
  <r>
    <s v="ORD49136"/>
    <d v="2025-11-20T00:00:00"/>
    <s v="Coffee Mug"/>
    <x v="4"/>
    <x v="1"/>
    <n v="7"/>
    <n v="349"/>
    <n v="90"/>
    <x v="4"/>
    <x v="0"/>
    <n v="2443"/>
    <n v="1813"/>
    <n v="0.74212034383954151"/>
  </r>
  <r>
    <s v="ORD71409"/>
    <d v="2025-11-23T00:00:00"/>
    <s v="Study Table"/>
    <x v="0"/>
    <x v="2"/>
    <n v="3"/>
    <n v="7099"/>
    <n v="5000"/>
    <x v="3"/>
    <x v="3"/>
    <n v="21297"/>
    <n v="6297"/>
    <n v="0.29567544724609102"/>
  </r>
  <r>
    <s v="ORD42280"/>
    <d v="2025-11-24T00:00:00"/>
    <s v="Coffee Mug"/>
    <x v="4"/>
    <x v="0"/>
    <n v="5"/>
    <n v="49"/>
    <n v="90"/>
    <x v="0"/>
    <x v="1"/>
    <n v="245"/>
    <n v="-205"/>
    <n v="-0.83673469387755106"/>
  </r>
  <r>
    <s v="ORD69219"/>
    <d v="2025-11-25T00:00:00"/>
    <s v="Coffee Mug"/>
    <x v="4"/>
    <x v="2"/>
    <n v="7"/>
    <n v="449"/>
    <n v="90"/>
    <x v="0"/>
    <x v="3"/>
    <n v="3143"/>
    <n v="2513"/>
    <n v="0.79955456570155903"/>
  </r>
  <r>
    <s v="ORD26439"/>
    <d v="2025-11-25T00:00:00"/>
    <s v="Smart Watch"/>
    <x v="2"/>
    <x v="2"/>
    <n v="1"/>
    <n v="3399"/>
    <n v="2400"/>
    <x v="1"/>
    <x v="1"/>
    <n v="3399"/>
    <n v="999"/>
    <n v="0.29390997352162401"/>
  </r>
  <r>
    <s v="ORD68060"/>
    <d v="2025-11-27T00:00:00"/>
    <s v="Boat Headphones"/>
    <x v="2"/>
    <x v="2"/>
    <n v="9"/>
    <n v="2199"/>
    <n v="1200"/>
    <x v="4"/>
    <x v="3"/>
    <n v="19791"/>
    <n v="8991"/>
    <n v="0.45429740791268758"/>
  </r>
  <r>
    <s v="ORD47608"/>
    <d v="2025-11-28T00:00:00"/>
    <s v="LED Desk Lamp"/>
    <x v="4"/>
    <x v="0"/>
    <n v="7"/>
    <n v="699"/>
    <n v="500"/>
    <x v="1"/>
    <x v="1"/>
    <n v="4893"/>
    <n v="1393"/>
    <n v="0.28469241773962806"/>
  </r>
  <r>
    <s v="ORD56202"/>
    <d v="2025-11-29T00:00:00"/>
    <s v="Coffee Mug"/>
    <x v="4"/>
    <x v="2"/>
    <n v="4"/>
    <n v="149"/>
    <n v="90"/>
    <x v="2"/>
    <x v="1"/>
    <n v="596"/>
    <n v="236"/>
    <n v="0.39597315436241609"/>
  </r>
  <r>
    <s v="ORD71303"/>
    <d v="2025-12-01T00:00:00"/>
    <s v="Samsung Galaxy M14"/>
    <x v="2"/>
    <x v="0"/>
    <n v="7"/>
    <n v="12799"/>
    <n v="10800"/>
    <x v="3"/>
    <x v="1"/>
    <n v="89593"/>
    <n v="13993"/>
    <n v="0.15618407688100633"/>
  </r>
  <r>
    <s v="ORD94140"/>
    <d v="2025-12-06T00:00:00"/>
    <s v="Mixer Grinder"/>
    <x v="3"/>
    <x v="1"/>
    <n v="1"/>
    <n v="3699"/>
    <n v="2500"/>
    <x v="0"/>
    <x v="4"/>
    <n v="3699"/>
    <n v="1199"/>
    <n v="0.32414165990808325"/>
  </r>
  <r>
    <s v="ORD26856"/>
    <d v="2025-12-08T00:00:00"/>
    <s v="Notebook Pack"/>
    <x v="5"/>
    <x v="4"/>
    <n v="4"/>
    <n v="399"/>
    <n v="120"/>
    <x v="1"/>
    <x v="1"/>
    <n v="1596"/>
    <n v="1116"/>
    <n v="0.6992481203007519"/>
  </r>
  <r>
    <s v="ORD80049"/>
    <d v="2025-12-08T00:00:00"/>
    <s v="Office Chair"/>
    <x v="0"/>
    <x v="0"/>
    <n v="6"/>
    <n v="5299"/>
    <n v="3800"/>
    <x v="0"/>
    <x v="3"/>
    <n v="31794"/>
    <n v="8994"/>
    <n v="0.2828835629364031"/>
  </r>
  <r>
    <s v="ORD95983"/>
    <d v="2025-12-10T00:00:00"/>
    <s v="LED Desk Lamp"/>
    <x v="4"/>
    <x v="4"/>
    <n v="10"/>
    <n v="699"/>
    <n v="500"/>
    <x v="2"/>
    <x v="1"/>
    <n v="6990"/>
    <n v="1990"/>
    <n v="0.28469241773962806"/>
  </r>
  <r>
    <s v="ORD49985"/>
    <d v="2025-12-10T00:00:00"/>
    <s v="Bluetooth Speaker"/>
    <x v="2"/>
    <x v="0"/>
    <n v="4"/>
    <n v="3099"/>
    <n v="1800"/>
    <x v="1"/>
    <x v="0"/>
    <n v="12396"/>
    <n v="5196"/>
    <n v="0.41916747337850918"/>
  </r>
  <r>
    <s v="ORD28934"/>
    <d v="2025-12-12T00:00:00"/>
    <s v="Office Chair"/>
    <x v="0"/>
    <x v="0"/>
    <n v="5"/>
    <n v="5699"/>
    <n v="3800"/>
    <x v="0"/>
    <x v="3"/>
    <n v="28495"/>
    <n v="9495"/>
    <n v="0.33321635374627129"/>
  </r>
  <r>
    <s v="ORD64485"/>
    <d v="2025-12-13T00:00:00"/>
    <s v="Mixer Grinder"/>
    <x v="3"/>
    <x v="2"/>
    <n v="4"/>
    <n v="3599"/>
    <n v="2500"/>
    <x v="2"/>
    <x v="4"/>
    <n v="14396"/>
    <n v="4396"/>
    <n v="0.30536260072242288"/>
  </r>
  <r>
    <s v="ORD85596"/>
    <d v="2025-12-17T00:00:00"/>
    <s v="Cotton T-Shirt"/>
    <x v="1"/>
    <x v="3"/>
    <n v="10"/>
    <n v="799"/>
    <n v="350"/>
    <x v="3"/>
    <x v="3"/>
    <n v="7990"/>
    <n v="4490"/>
    <n v="0.56195244055068838"/>
  </r>
  <r>
    <s v="ORD25051"/>
    <d v="2025-12-17T00:00:00"/>
    <s v="LED Desk Lamp"/>
    <x v="4"/>
    <x v="2"/>
    <n v="4"/>
    <n v="1099"/>
    <n v="500"/>
    <x v="2"/>
    <x v="2"/>
    <n v="4396"/>
    <n v="2396"/>
    <n v="0.54504094631483169"/>
  </r>
  <r>
    <s v="ORD47624"/>
    <d v="2025-12-19T00:00:00"/>
    <s v="Smart Watch"/>
    <x v="2"/>
    <x v="3"/>
    <n v="7"/>
    <n v="3499"/>
    <n v="2400"/>
    <x v="2"/>
    <x v="3"/>
    <n v="24493"/>
    <n v="7693"/>
    <n v="0.31408973992569306"/>
  </r>
  <r>
    <s v="ORD39975"/>
    <d v="2025-12-19T00:00:00"/>
    <s v="Samsung Galaxy M14"/>
    <x v="2"/>
    <x v="2"/>
    <n v="8"/>
    <n v="13199"/>
    <n v="10800"/>
    <x v="2"/>
    <x v="4"/>
    <n v="105592"/>
    <n v="19192"/>
    <n v="0.18175619365103418"/>
  </r>
  <r>
    <s v="ORD27370"/>
    <d v="2025-12-21T00:00:00"/>
    <s v="Bluetooth Speaker"/>
    <x v="2"/>
    <x v="4"/>
    <n v="9"/>
    <n v="3199"/>
    <n v="1800"/>
    <x v="0"/>
    <x v="2"/>
    <n v="28791"/>
    <n v="12591"/>
    <n v="0.43732416380118788"/>
  </r>
  <r>
    <s v="ORD96651"/>
    <d v="2025-12-21T00:00:00"/>
    <s v="Cotton T-Shirt"/>
    <x v="1"/>
    <x v="3"/>
    <n v="7"/>
    <n v="799"/>
    <n v="350"/>
    <x v="3"/>
    <x v="1"/>
    <n v="5593"/>
    <n v="3143"/>
    <n v="0.56195244055068838"/>
  </r>
  <r>
    <s v="ORD16570"/>
    <d v="2025-12-21T00:00:00"/>
    <s v="Notebook Pack"/>
    <x v="5"/>
    <x v="4"/>
    <n v="6"/>
    <n v="199"/>
    <n v="120"/>
    <x v="4"/>
    <x v="1"/>
    <n v="1194"/>
    <n v="474"/>
    <n v="0.39698492462311558"/>
  </r>
  <r>
    <s v="ORD29109"/>
    <d v="2025-12-21T00:00:00"/>
    <s v="Smart Watch"/>
    <x v="2"/>
    <x v="0"/>
    <n v="6"/>
    <n v="3499"/>
    <n v="2400"/>
    <x v="2"/>
    <x v="2"/>
    <n v="20994"/>
    <n v="6594"/>
    <n v="0.31408973992569306"/>
  </r>
  <r>
    <s v="ORD18261"/>
    <d v="2025-12-24T00:00:00"/>
    <s v="Redmi Note 13"/>
    <x v="2"/>
    <x v="4"/>
    <n v="2"/>
    <n v="16199"/>
    <n v="13500"/>
    <x v="2"/>
    <x v="0"/>
    <n v="32398"/>
    <n v="5398"/>
    <n v="0.16661522316192356"/>
  </r>
  <r>
    <s v="ORD59273"/>
    <d v="2025-12-24T00:00:00"/>
    <s v="Study Table"/>
    <x v="0"/>
    <x v="1"/>
    <n v="10"/>
    <n v="6799"/>
    <n v="5000"/>
    <x v="0"/>
    <x v="1"/>
    <n v="67990"/>
    <n v="17990"/>
    <n v="0.26459773496102368"/>
  </r>
  <r>
    <s v="ORD92598"/>
    <d v="2025-12-25T00:00:00"/>
    <s v="Redmi Note 13"/>
    <x v="2"/>
    <x v="3"/>
    <n v="2"/>
    <n v="15899"/>
    <n v="13500"/>
    <x v="0"/>
    <x v="4"/>
    <n v="31798"/>
    <n v="4798"/>
    <n v="0.15088999308132586"/>
  </r>
  <r>
    <s v="ORD16551"/>
    <d v="2025-12-25T00:00:00"/>
    <s v="Coffee Mug"/>
    <x v="4"/>
    <x v="2"/>
    <n v="7"/>
    <n v="149"/>
    <n v="90"/>
    <x v="2"/>
    <x v="2"/>
    <n v="1043"/>
    <n v="413"/>
    <n v="0.39597315436241609"/>
  </r>
  <r>
    <s v="ORD29413"/>
    <d v="2025-12-26T00:00:00"/>
    <s v="Mixer Grinder"/>
    <x v="3"/>
    <x v="4"/>
    <n v="2"/>
    <n v="3599"/>
    <n v="2500"/>
    <x v="0"/>
    <x v="4"/>
    <n v="7198"/>
    <n v="2198"/>
    <n v="0.30536260072242288"/>
  </r>
  <r>
    <s v="ORD56440-2"/>
    <d v="2025-12-27T00:00:00"/>
    <s v="Office Chair"/>
    <x v="0"/>
    <x v="4"/>
    <n v="10"/>
    <n v="5499"/>
    <n v="3800"/>
    <x v="0"/>
    <x v="3"/>
    <n v="54990"/>
    <n v="16990"/>
    <n v="0.30896526641207495"/>
  </r>
  <r>
    <s v="ORD36254"/>
    <d v="2025-12-28T00:00:00"/>
    <s v="Running Shoes"/>
    <x v="1"/>
    <x v="0"/>
    <n v="9"/>
    <n v="2599"/>
    <n v="1400"/>
    <x v="2"/>
    <x v="1"/>
    <n v="23391"/>
    <n v="10791"/>
    <n v="0.46133128126202383"/>
  </r>
  <r>
    <s v="ORD42768"/>
    <d v="2025-12-28T00:00:00"/>
    <s v="Coffee Mug"/>
    <x v="4"/>
    <x v="4"/>
    <n v="10"/>
    <n v="349"/>
    <n v="90"/>
    <x v="1"/>
    <x v="3"/>
    <n v="3490"/>
    <n v="2590"/>
    <n v="0.74212034383954151"/>
  </r>
  <r>
    <s v="ORD36719"/>
    <d v="2025-12-29T00:00:00"/>
    <s v="Bluetooth Speaker"/>
    <x v="2"/>
    <x v="3"/>
    <n v="10"/>
    <n v="2899"/>
    <n v="1800"/>
    <x v="0"/>
    <x v="4"/>
    <n v="28990"/>
    <n v="10990"/>
    <n v="0.379096240082787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3F0BEC-8A01-44B3-8190-C6ECF235F0C6}" name="pvRegionalPerformanc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5:K11" firstHeaderRow="0" firstDataRow="1" firstDataCol="1"/>
  <pivotFields count="13">
    <pivotField dataField="1" showAll="0"/>
    <pivotField numFmtId="164" showAll="0"/>
    <pivotField showAll="0"/>
    <pivotField showAll="0"/>
    <pivotField axis="axisRow" showAll="0">
      <items count="6">
        <item x="0"/>
        <item x="4"/>
        <item x="3"/>
        <item x="2"/>
        <item x="1"/>
        <item t="default"/>
      </items>
    </pivotField>
    <pivotField numFmtId="3" showAll="0"/>
    <pivotField numFmtId="3" showAll="0"/>
    <pivotField numFmtId="3" showAll="0"/>
    <pivotField showAll="0">
      <items count="6">
        <item x="1"/>
        <item x="0"/>
        <item x="4"/>
        <item x="3"/>
        <item x="2"/>
        <item t="default"/>
      </items>
    </pivotField>
    <pivotField showAll="0">
      <items count="6">
        <item x="4"/>
        <item x="3"/>
        <item x="0"/>
        <item x="2"/>
        <item x="1"/>
        <item t="default"/>
      </items>
    </pivotField>
    <pivotField dataField="1" numFmtId="3" showAll="0"/>
    <pivotField dataField="1" numFmtId="3" showAll="0"/>
    <pivotField numFmtId="166" showAll="0"/>
  </pivotFields>
  <rowFields count="1">
    <field x="4"/>
  </rowFields>
  <rowItems count="6">
    <i>
      <x/>
    </i>
    <i>
      <x v="1"/>
    </i>
    <i>
      <x v="2"/>
    </i>
    <i>
      <x v="3"/>
    </i>
    <i>
      <x v="4"/>
    </i>
    <i t="grand">
      <x/>
    </i>
  </rowItems>
  <colFields count="1">
    <field x="-2"/>
  </colFields>
  <colItems count="3">
    <i>
      <x/>
    </i>
    <i i="1">
      <x v="1"/>
    </i>
    <i i="2">
      <x v="2"/>
    </i>
  </colItems>
  <dataFields count="3">
    <dataField name="Revenue (INR)" fld="10" baseField="0" baseItem="0" numFmtId="3"/>
    <dataField name="Profit (INR)" fld="11" baseField="0" baseItem="0" numFmtId="3"/>
    <dataField name="Order 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F39D8A-277F-42C9-9283-97DEEBB89D4E}" name="pvCategoryPerformanc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5:D12" firstHeaderRow="0" firstDataRow="1" firstDataCol="1"/>
  <pivotFields count="13">
    <pivotField showAll="0"/>
    <pivotField numFmtId="164" showAll="0"/>
    <pivotField showAll="0"/>
    <pivotField axis="axisRow" showAll="0">
      <items count="7">
        <item x="3"/>
        <item x="2"/>
        <item x="1"/>
        <item x="0"/>
        <item x="4"/>
        <item x="5"/>
        <item t="default"/>
      </items>
    </pivotField>
    <pivotField showAll="0"/>
    <pivotField numFmtId="3" showAll="0"/>
    <pivotField numFmtId="3" showAll="0"/>
    <pivotField numFmtId="3" showAll="0"/>
    <pivotField showAll="0">
      <items count="6">
        <item x="1"/>
        <item x="0"/>
        <item x="4"/>
        <item x="3"/>
        <item x="2"/>
        <item t="default"/>
      </items>
    </pivotField>
    <pivotField showAll="0">
      <items count="6">
        <item x="4"/>
        <item x="3"/>
        <item x="0"/>
        <item x="2"/>
        <item x="1"/>
        <item t="default"/>
      </items>
    </pivotField>
    <pivotField dataField="1" numFmtId="3" showAll="0"/>
    <pivotField dataField="1" numFmtId="3" showAll="0"/>
    <pivotField dataField="1" numFmtId="166" showAll="0"/>
  </pivotFields>
  <rowFields count="1">
    <field x="3"/>
  </rowFields>
  <rowItems count="7">
    <i>
      <x/>
    </i>
    <i>
      <x v="1"/>
    </i>
    <i>
      <x v="2"/>
    </i>
    <i>
      <x v="3"/>
    </i>
    <i>
      <x v="4"/>
    </i>
    <i>
      <x v="5"/>
    </i>
    <i t="grand">
      <x/>
    </i>
  </rowItems>
  <colFields count="1">
    <field x="-2"/>
  </colFields>
  <colItems count="3">
    <i>
      <x/>
    </i>
    <i i="1">
      <x v="1"/>
    </i>
    <i i="2">
      <x v="2"/>
    </i>
  </colItems>
  <dataFields count="3">
    <dataField name="Revenue (INR)" fld="10" baseField="0" baseItem="0" numFmtId="3"/>
    <dataField name="Profit (INR)" fld="11" baseField="0" baseItem="0" numFmtId="3"/>
    <dataField name="Avg Profit Margin" fld="12"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2FDD521D-D6EE-40B6-9F84-FFBFFD5BB56F}" sourceName="Order Status">
  <pivotTables>
    <pivotTable tabId="5" name="pvCategoryPerformance"/>
  </pivotTables>
  <data>
    <tabular pivotCacheId="1096337615">
      <items count="5">
        <i x="1" s="1"/>
        <i x="0" s="1"/>
        <i x="4"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17B2DE65-D765-4E63-86A1-A3624403EFDF}" sourceName="Payment Method">
  <pivotTables>
    <pivotTable tabId="5" name="pvCategoryPerformance"/>
  </pivotTables>
  <data>
    <tabular pivotCacheId="1096337615">
      <items count="5">
        <i x="4" s="1"/>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1" xr10:uid="{9D879CBD-9C87-4E42-AC28-14DFDB7C40E9}" sourceName="Order Status">
  <pivotTables>
    <pivotTable tabId="5" name="pvRegionalPerformance"/>
  </pivotTables>
  <data>
    <tabular pivotCacheId="1096337615">
      <items count="5">
        <i x="1" s="1"/>
        <i x="0" s="1"/>
        <i x="4"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6940631E-5ED2-48F6-8FB5-843AAB43DC54}" sourceName="Payment Method">
  <pivotTables>
    <pivotTable tabId="5" name="pvRegionalPerformance"/>
  </pivotTables>
  <data>
    <tabular pivotCacheId="1096337615">
      <items count="5">
        <i x="4" s="1"/>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DashCatStatus" xr10:uid="{CDB6ECFB-4E9E-44CB-8315-D0A6B86E523B}" cache="Slicer_Order_Status" caption="Category: Order Status" style="SlicerStyleLight2" rowHeight="234950"/>
  <slicer name="slDashCatPayment" xr10:uid="{7DD5464A-E204-4453-8763-EF82BBE87FFE}" cache="Slicer_Payment_Method" caption="Category: Payment" style="SlicerStyleLight2" rowHeight="234950"/>
  <slicer name="slDashRegStatus" xr10:uid="{E0C1FFA0-84A4-4E05-B9BC-7D4AF8257A95}" cache="Slicer_Order_Status1" caption="Region: Order Status" style="SlicerStyleLight2" rowHeight="234950"/>
  <slicer name="slDashRegPayment" xr10:uid="{1CE40F11-BFFA-4997-B4B0-9BF306BD8CFD}" cache="Slicer_Payment_Method1" caption="Region: Payment"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1ACB91-9BBA-4C91-BD7E-EBBC79CAE2A6}" name="Table1" displayName="Table1" ref="A9:M288" totalsRowCount="1" headerRowDxfId="32" dataDxfId="30" totalsRowDxfId="28" headerRowBorderDxfId="31" tableBorderDxfId="29" totalsRowBorderDxfId="27">
  <autoFilter ref="A9:M287" xr:uid="{F91ACB91-9BBA-4C91-BD7E-EBBC79CAE2A6}"/>
  <sortState xmlns:xlrd2="http://schemas.microsoft.com/office/spreadsheetml/2017/richdata2" ref="A10:J287">
    <sortCondition ref="B9:B287"/>
  </sortState>
  <tableColumns count="13">
    <tableColumn id="1" xr3:uid="{A6A1DA37-560F-40B1-A968-42981EC6360E}" name="Order ID" totalsRowLabel="Totals" dataDxfId="26" totalsRowDxfId="25"/>
    <tableColumn id="2" xr3:uid="{5F054416-D23D-4415-B66E-5A88E50E8213}" name="Order Date" dataDxfId="24" totalsRowDxfId="23"/>
    <tableColumn id="3" xr3:uid="{F733C969-8DA9-4588-BC60-8461B572E0BB}" name="Product Name" dataDxfId="22" totalsRowDxfId="21"/>
    <tableColumn id="4" xr3:uid="{2AEF4EFD-4E69-4BDB-AA75-668DD3E04E4A}" name="Category" dataDxfId="20" totalsRowDxfId="19"/>
    <tableColumn id="5" xr3:uid="{9BC12712-556D-4A96-8AC5-FE831D9B703F}" name="Region" dataDxfId="18" totalsRowDxfId="17"/>
    <tableColumn id="6" xr3:uid="{782739E5-988E-4752-8D12-B03E8AA0E1FC}" name="Quantity" totalsRowFunction="sum" dataDxfId="16" totalsRowDxfId="15"/>
    <tableColumn id="7" xr3:uid="{AFBBB9CD-8609-4674-BF57-D987FCFA51A4}" name="Unit Price" dataDxfId="14" totalsRowDxfId="13"/>
    <tableColumn id="8" xr3:uid="{32D6748A-D56F-4EED-98D7-FE92274C403C}" name="Cost Price" dataDxfId="12" totalsRowDxfId="11"/>
    <tableColumn id="9" xr3:uid="{97E04628-7D5D-44A3-BB3A-E1D2DF847628}" name="Order Status" dataDxfId="10" totalsRowDxfId="9"/>
    <tableColumn id="10" xr3:uid="{B677009A-34DC-46CD-BE56-A9E2DD8FECDA}" name="Payment Method" dataDxfId="8" totalsRowDxfId="7"/>
    <tableColumn id="12" xr3:uid="{60F4C4D8-467C-43DC-83A7-83F12AD9D7D8}" name="Revenue" totalsRowFunction="sum" dataDxfId="6" totalsRowDxfId="5">
      <calculatedColumnFormula>Table1[[#This Row],[Quantity]]*Table1[[#This Row],[Unit Price]]</calculatedColumnFormula>
    </tableColumn>
    <tableColumn id="15" xr3:uid="{35F8ED0F-5EC8-4FF5-8EFC-EDDDCAD790A6}" name="Profit" totalsRowFunction="sum" dataDxfId="4" totalsRowDxfId="3">
      <calculatedColumnFormula>Table1[[#This Row],[Revenue]]-Table1[[#This Row],[Cost Price]]*Table1[[#This Row],[Quantity]]</calculatedColumnFormula>
    </tableColumn>
    <tableColumn id="16" xr3:uid="{4F83B8D1-375A-4280-83A2-10B5FDFF00F4}" name="Profit Margin" totalsRowFunction="custom" dataDxfId="2" totalsRowDxfId="1" dataCellStyle="Percent">
      <calculatedColumnFormula>IFERROR(Table1[[#This Row],[Profit]]/Table1[[#This Row],[Revenue]],"")</calculatedColumnFormula>
      <totalsRowFormula>IFERROR(L288/K288,"")</totalsRowFormula>
    </tableColumn>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EE725-BC4D-4C11-AB36-C5C981F6A82D}">
  <dimension ref="A1:J287"/>
  <sheetViews>
    <sheetView topLeftCell="A189" workbookViewId="0">
      <selection activeCell="J26" sqref="J26"/>
    </sheetView>
  </sheetViews>
  <sheetFormatPr defaultRowHeight="14.4" x14ac:dyDescent="0.3"/>
  <cols>
    <col min="1" max="1" width="15.77734375" customWidth="1"/>
    <col min="2" max="2" width="16.6640625" customWidth="1"/>
    <col min="3" max="3" width="25" customWidth="1"/>
    <col min="4" max="5" width="17.5546875" customWidth="1"/>
    <col min="6" max="6" width="8.33203125" bestFit="1" customWidth="1"/>
    <col min="7" max="8" width="9.33203125" bestFit="1" customWidth="1"/>
    <col min="9" max="10" width="20.33203125" customWidth="1"/>
  </cols>
  <sheetData>
    <row r="1" spans="1:10" x14ac:dyDescent="0.3">
      <c r="A1" s="3" t="s">
        <v>0</v>
      </c>
      <c r="B1" s="3" t="s">
        <v>1</v>
      </c>
      <c r="C1" s="3" t="s">
        <v>2</v>
      </c>
      <c r="D1" s="3" t="s">
        <v>3</v>
      </c>
      <c r="E1" s="3" t="s">
        <v>4</v>
      </c>
      <c r="F1" s="3" t="s">
        <v>5</v>
      </c>
      <c r="G1" s="3" t="s">
        <v>6</v>
      </c>
      <c r="H1" s="3" t="s">
        <v>7</v>
      </c>
      <c r="I1" s="3" t="s">
        <v>8</v>
      </c>
      <c r="J1" s="3" t="s">
        <v>9</v>
      </c>
    </row>
    <row r="2" spans="1:10" x14ac:dyDescent="0.3">
      <c r="A2" s="1" t="s">
        <v>278</v>
      </c>
      <c r="B2" s="1">
        <v>45658</v>
      </c>
      <c r="C2" s="1" t="s">
        <v>11</v>
      </c>
      <c r="D2" s="1" t="s">
        <v>12</v>
      </c>
      <c r="E2" s="1" t="s">
        <v>18</v>
      </c>
      <c r="F2" s="1">
        <v>7</v>
      </c>
      <c r="G2" s="1">
        <v>7199</v>
      </c>
      <c r="H2" s="1">
        <v>5000</v>
      </c>
      <c r="I2" s="1" t="s">
        <v>19</v>
      </c>
      <c r="J2" s="1" t="s">
        <v>47</v>
      </c>
    </row>
    <row r="3" spans="1:10" x14ac:dyDescent="0.3">
      <c r="A3" s="1" t="s">
        <v>131</v>
      </c>
      <c r="B3" s="2" t="s">
        <v>328</v>
      </c>
      <c r="C3" s="1" t="s">
        <v>21</v>
      </c>
      <c r="D3" s="1" t="s">
        <v>22</v>
      </c>
      <c r="E3" s="1" t="s">
        <v>23</v>
      </c>
      <c r="F3" s="1">
        <v>3</v>
      </c>
      <c r="G3" s="1">
        <v>799</v>
      </c>
      <c r="H3" s="1">
        <v>350</v>
      </c>
      <c r="I3" s="1" t="s">
        <v>19</v>
      </c>
      <c r="J3" s="1" t="s">
        <v>34</v>
      </c>
    </row>
    <row r="4" spans="1:10" x14ac:dyDescent="0.3">
      <c r="A4" s="1" t="s">
        <v>161</v>
      </c>
      <c r="B4" s="2" t="s">
        <v>329</v>
      </c>
      <c r="C4" s="1" t="s">
        <v>21</v>
      </c>
      <c r="D4" s="1" t="s">
        <v>22</v>
      </c>
      <c r="E4" s="1" t="s">
        <v>40</v>
      </c>
      <c r="F4" s="1">
        <v>7</v>
      </c>
      <c r="G4" s="1">
        <v>699</v>
      </c>
      <c r="H4" s="1">
        <v>350</v>
      </c>
      <c r="I4" s="1" t="s">
        <v>19</v>
      </c>
      <c r="J4" s="1" t="s">
        <v>47</v>
      </c>
    </row>
    <row r="5" spans="1:10" x14ac:dyDescent="0.3">
      <c r="A5" s="1" t="s">
        <v>330</v>
      </c>
      <c r="B5" s="2" t="s">
        <v>331</v>
      </c>
      <c r="C5" s="1" t="s">
        <v>332</v>
      </c>
      <c r="D5" s="1" t="s">
        <v>141</v>
      </c>
      <c r="E5" s="1" t="s">
        <v>333</v>
      </c>
      <c r="F5" s="1">
        <v>6</v>
      </c>
      <c r="G5" s="1">
        <v>3099</v>
      </c>
      <c r="H5" s="1">
        <v>1800</v>
      </c>
      <c r="I5" s="1" t="s">
        <v>334</v>
      </c>
      <c r="J5" s="1" t="s">
        <v>335</v>
      </c>
    </row>
    <row r="6" spans="1:10" x14ac:dyDescent="0.3">
      <c r="A6" s="1" t="s">
        <v>276</v>
      </c>
      <c r="B6" s="2" t="s">
        <v>336</v>
      </c>
      <c r="C6" s="1" t="s">
        <v>30</v>
      </c>
      <c r="D6" s="1" t="s">
        <v>31</v>
      </c>
      <c r="E6" s="1" t="s">
        <v>13</v>
      </c>
      <c r="F6" s="1">
        <v>8</v>
      </c>
      <c r="G6" s="1">
        <v>15799</v>
      </c>
      <c r="H6" s="1">
        <v>13500</v>
      </c>
      <c r="I6" s="1" t="s">
        <v>24</v>
      </c>
      <c r="J6" s="1" t="s">
        <v>34</v>
      </c>
    </row>
    <row r="7" spans="1:10" x14ac:dyDescent="0.3">
      <c r="A7" s="1" t="s">
        <v>337</v>
      </c>
      <c r="B7" s="1">
        <v>45666</v>
      </c>
      <c r="C7" s="1" t="s">
        <v>338</v>
      </c>
      <c r="D7" s="1" t="s">
        <v>339</v>
      </c>
      <c r="E7" s="1" t="s">
        <v>340</v>
      </c>
      <c r="F7" s="1">
        <v>4</v>
      </c>
      <c r="G7" s="1">
        <v>8899</v>
      </c>
      <c r="H7" s="1">
        <v>7000</v>
      </c>
      <c r="I7" s="1" t="s">
        <v>341</v>
      </c>
      <c r="J7" s="1" t="s">
        <v>15</v>
      </c>
    </row>
    <row r="8" spans="1:10" x14ac:dyDescent="0.3">
      <c r="A8" s="1" t="s">
        <v>306</v>
      </c>
      <c r="B8" s="2" t="s">
        <v>342</v>
      </c>
      <c r="C8" s="1" t="s">
        <v>91</v>
      </c>
      <c r="D8" s="1" t="s">
        <v>38</v>
      </c>
      <c r="E8" s="1" t="s">
        <v>13</v>
      </c>
      <c r="F8" s="1">
        <v>5</v>
      </c>
      <c r="G8" s="1">
        <v>899</v>
      </c>
      <c r="H8" s="1">
        <v>500</v>
      </c>
      <c r="I8" s="1" t="s">
        <v>19</v>
      </c>
      <c r="J8" s="1" t="s">
        <v>55</v>
      </c>
    </row>
    <row r="9" spans="1:10" x14ac:dyDescent="0.3">
      <c r="A9" s="1" t="s">
        <v>343</v>
      </c>
      <c r="B9" s="2" t="s">
        <v>344</v>
      </c>
      <c r="C9" s="1" t="s">
        <v>345</v>
      </c>
      <c r="D9" s="1" t="s">
        <v>346</v>
      </c>
      <c r="E9" s="1" t="s">
        <v>347</v>
      </c>
      <c r="F9" s="1">
        <v>4</v>
      </c>
      <c r="G9" s="1">
        <v>3299</v>
      </c>
      <c r="H9" s="1">
        <v>2500</v>
      </c>
      <c r="I9" s="1" t="s">
        <v>348</v>
      </c>
      <c r="J9" s="1" t="s">
        <v>349</v>
      </c>
    </row>
    <row r="10" spans="1:10" x14ac:dyDescent="0.3">
      <c r="A10" s="1" t="s">
        <v>350</v>
      </c>
      <c r="B10" s="2" t="s">
        <v>351</v>
      </c>
      <c r="C10" s="1" t="s">
        <v>352</v>
      </c>
      <c r="D10" s="1" t="s">
        <v>141</v>
      </c>
      <c r="E10" s="1" t="s">
        <v>353</v>
      </c>
      <c r="F10" s="1">
        <v>8</v>
      </c>
      <c r="G10" s="1">
        <v>12799</v>
      </c>
      <c r="H10" s="1">
        <v>10800</v>
      </c>
      <c r="I10" s="1" t="s">
        <v>334</v>
      </c>
      <c r="J10" s="1" t="s">
        <v>15</v>
      </c>
    </row>
    <row r="11" spans="1:10" x14ac:dyDescent="0.3">
      <c r="A11" s="1" t="s">
        <v>125</v>
      </c>
      <c r="B11" s="1">
        <v>45674</v>
      </c>
      <c r="C11" s="1" t="s">
        <v>354</v>
      </c>
      <c r="D11" s="1" t="s">
        <v>355</v>
      </c>
      <c r="E11" s="1" t="s">
        <v>40</v>
      </c>
      <c r="F11" s="1">
        <v>1</v>
      </c>
      <c r="G11" s="1">
        <v>199</v>
      </c>
      <c r="H11" s="1">
        <v>180</v>
      </c>
      <c r="I11" s="1" t="s">
        <v>356</v>
      </c>
      <c r="J11" s="1" t="s">
        <v>357</v>
      </c>
    </row>
    <row r="12" spans="1:10" x14ac:dyDescent="0.3">
      <c r="A12" s="1">
        <v>12100</v>
      </c>
      <c r="B12" s="2" t="s">
        <v>358</v>
      </c>
      <c r="C12" s="1" t="s">
        <v>11</v>
      </c>
      <c r="D12" s="1" t="s">
        <v>12</v>
      </c>
      <c r="E12" s="1" t="s">
        <v>32</v>
      </c>
      <c r="F12" s="1">
        <v>4</v>
      </c>
      <c r="G12" s="1">
        <v>6999</v>
      </c>
      <c r="H12" s="2" t="s">
        <v>359</v>
      </c>
      <c r="I12" s="1" t="s">
        <v>19</v>
      </c>
      <c r="J12" s="1" t="s">
        <v>34</v>
      </c>
    </row>
    <row r="13" spans="1:10" x14ac:dyDescent="0.3">
      <c r="A13" s="1" t="s">
        <v>360</v>
      </c>
      <c r="B13" s="1">
        <v>45676</v>
      </c>
      <c r="C13" s="1" t="s">
        <v>361</v>
      </c>
      <c r="D13" s="1" t="s">
        <v>362</v>
      </c>
      <c r="E13" s="1" t="s">
        <v>363</v>
      </c>
      <c r="F13" s="1">
        <v>2</v>
      </c>
      <c r="G13" s="1">
        <v>599</v>
      </c>
      <c r="H13" s="1">
        <v>350</v>
      </c>
      <c r="I13" s="1" t="s">
        <v>364</v>
      </c>
      <c r="J13" s="1" t="s">
        <v>365</v>
      </c>
    </row>
    <row r="14" spans="1:10" x14ac:dyDescent="0.3">
      <c r="A14" s="1" t="s">
        <v>366</v>
      </c>
      <c r="B14" s="1">
        <v>45679</v>
      </c>
      <c r="C14" s="1" t="s">
        <v>367</v>
      </c>
      <c r="D14" s="1" t="s">
        <v>141</v>
      </c>
      <c r="E14" s="1" t="s">
        <v>368</v>
      </c>
      <c r="F14" s="1">
        <v>5</v>
      </c>
      <c r="G14" s="1">
        <v>13099</v>
      </c>
      <c r="H14" s="2" t="s">
        <v>369</v>
      </c>
      <c r="I14" s="1" t="s">
        <v>334</v>
      </c>
      <c r="J14" s="1" t="s">
        <v>370</v>
      </c>
    </row>
    <row r="15" spans="1:10" x14ac:dyDescent="0.3">
      <c r="A15" s="1" t="s">
        <v>371</v>
      </c>
      <c r="B15" s="2" t="s">
        <v>372</v>
      </c>
      <c r="C15" s="1" t="s">
        <v>373</v>
      </c>
      <c r="D15" s="1" t="s">
        <v>374</v>
      </c>
      <c r="E15" s="1" t="s">
        <v>340</v>
      </c>
      <c r="F15" s="1">
        <v>10</v>
      </c>
      <c r="G15" s="2" t="s">
        <v>375</v>
      </c>
      <c r="H15" s="1">
        <v>90</v>
      </c>
      <c r="I15" s="1" t="s">
        <v>334</v>
      </c>
      <c r="J15" s="1" t="s">
        <v>376</v>
      </c>
    </row>
    <row r="16" spans="1:10" x14ac:dyDescent="0.3">
      <c r="A16" s="1" t="s">
        <v>207</v>
      </c>
      <c r="B16" s="2" t="s">
        <v>377</v>
      </c>
      <c r="C16" s="1" t="s">
        <v>51</v>
      </c>
      <c r="D16" s="1" t="s">
        <v>31</v>
      </c>
      <c r="E16" s="1" t="s">
        <v>13</v>
      </c>
      <c r="F16" s="1">
        <v>2</v>
      </c>
      <c r="G16" s="1">
        <v>2799</v>
      </c>
      <c r="H16" s="1">
        <v>1800</v>
      </c>
      <c r="I16" s="1" t="s">
        <v>14</v>
      </c>
      <c r="J16" s="1" t="s">
        <v>52</v>
      </c>
    </row>
    <row r="17" spans="1:10" x14ac:dyDescent="0.3">
      <c r="A17" s="1" t="s">
        <v>108</v>
      </c>
      <c r="B17" s="1">
        <v>45681</v>
      </c>
      <c r="C17" s="1" t="s">
        <v>11</v>
      </c>
      <c r="D17" s="1" t="s">
        <v>12</v>
      </c>
      <c r="E17" s="1" t="s">
        <v>340</v>
      </c>
      <c r="F17" s="2" t="s">
        <v>378</v>
      </c>
      <c r="G17" s="2" t="s">
        <v>379</v>
      </c>
      <c r="H17" s="1">
        <v>5000</v>
      </c>
      <c r="I17" s="1" t="s">
        <v>41</v>
      </c>
      <c r="J17" s="1" t="s">
        <v>52</v>
      </c>
    </row>
    <row r="18" spans="1:10" x14ac:dyDescent="0.3">
      <c r="A18" s="1" t="s">
        <v>380</v>
      </c>
      <c r="B18" s="2" t="s">
        <v>381</v>
      </c>
      <c r="C18" s="1" t="s">
        <v>382</v>
      </c>
      <c r="D18" s="1" t="s">
        <v>383</v>
      </c>
      <c r="E18" s="1" t="s">
        <v>384</v>
      </c>
      <c r="F18" s="1">
        <v>2</v>
      </c>
      <c r="G18" s="1">
        <v>2899</v>
      </c>
      <c r="H18" s="2" t="s">
        <v>385</v>
      </c>
      <c r="I18" s="1" t="s">
        <v>386</v>
      </c>
      <c r="J18" s="1" t="s">
        <v>387</v>
      </c>
    </row>
    <row r="19" spans="1:10" x14ac:dyDescent="0.3">
      <c r="A19" s="1" t="s">
        <v>242</v>
      </c>
      <c r="B19" s="1">
        <v>45683</v>
      </c>
      <c r="C19" s="1" t="s">
        <v>91</v>
      </c>
      <c r="D19" s="1" t="s">
        <v>38</v>
      </c>
      <c r="E19" s="1" t="s">
        <v>23</v>
      </c>
      <c r="F19" s="1">
        <v>2</v>
      </c>
      <c r="G19" s="1">
        <v>699</v>
      </c>
      <c r="H19" s="1">
        <v>500</v>
      </c>
      <c r="I19" s="1" t="s">
        <v>24</v>
      </c>
      <c r="J19" s="1" t="s">
        <v>26</v>
      </c>
    </row>
    <row r="20" spans="1:10" x14ac:dyDescent="0.3">
      <c r="A20" s="1" t="s">
        <v>388</v>
      </c>
      <c r="B20" s="2" t="s">
        <v>389</v>
      </c>
      <c r="C20" s="1" t="s">
        <v>390</v>
      </c>
      <c r="D20" s="1" t="s">
        <v>141</v>
      </c>
      <c r="E20" s="1" t="s">
        <v>340</v>
      </c>
      <c r="F20" s="1">
        <v>2</v>
      </c>
      <c r="G20" s="1">
        <v>16099</v>
      </c>
      <c r="H20" s="1">
        <v>13500</v>
      </c>
      <c r="I20" s="1" t="s">
        <v>334</v>
      </c>
      <c r="J20" s="1" t="s">
        <v>15</v>
      </c>
    </row>
    <row r="21" spans="1:10" x14ac:dyDescent="0.3">
      <c r="A21" s="1" t="s">
        <v>391</v>
      </c>
      <c r="B21" s="2" t="s">
        <v>392</v>
      </c>
      <c r="C21" s="1" t="s">
        <v>393</v>
      </c>
      <c r="D21" s="1" t="s">
        <v>394</v>
      </c>
      <c r="E21" s="1" t="s">
        <v>340</v>
      </c>
      <c r="F21" s="1">
        <v>8</v>
      </c>
      <c r="G21" s="2" t="s">
        <v>395</v>
      </c>
      <c r="H21" s="1">
        <v>5000</v>
      </c>
      <c r="I21" s="1" t="s">
        <v>396</v>
      </c>
      <c r="J21" s="1" t="s">
        <v>15</v>
      </c>
    </row>
    <row r="22" spans="1:10" x14ac:dyDescent="0.3">
      <c r="A22" s="1" t="s">
        <v>143</v>
      </c>
      <c r="B22" s="1">
        <v>45689</v>
      </c>
      <c r="C22" s="1" t="s">
        <v>397</v>
      </c>
      <c r="D22" s="1" t="s">
        <v>398</v>
      </c>
      <c r="E22" s="1" t="s">
        <v>40</v>
      </c>
      <c r="F22" s="1">
        <v>10</v>
      </c>
      <c r="G22" s="1">
        <v>699</v>
      </c>
      <c r="H22" s="1">
        <v>350</v>
      </c>
      <c r="I22" s="1" t="s">
        <v>399</v>
      </c>
      <c r="J22" s="1" t="s">
        <v>34</v>
      </c>
    </row>
    <row r="23" spans="1:10" x14ac:dyDescent="0.3">
      <c r="A23" s="1" t="s">
        <v>86</v>
      </c>
      <c r="B23" s="1">
        <v>45690</v>
      </c>
      <c r="C23" s="1" t="s">
        <v>60</v>
      </c>
      <c r="D23" s="1" t="s">
        <v>31</v>
      </c>
      <c r="E23" s="1" t="s">
        <v>32</v>
      </c>
      <c r="F23" s="1">
        <v>7</v>
      </c>
      <c r="G23" s="1">
        <v>3699</v>
      </c>
      <c r="H23" s="1">
        <v>2400</v>
      </c>
      <c r="I23" s="1" t="s">
        <v>33</v>
      </c>
      <c r="J23" s="1" t="s">
        <v>26</v>
      </c>
    </row>
    <row r="24" spans="1:10" x14ac:dyDescent="0.3">
      <c r="A24" s="1">
        <v>48387</v>
      </c>
      <c r="B24" s="2" t="s">
        <v>400</v>
      </c>
      <c r="C24" s="1" t="s">
        <v>54</v>
      </c>
      <c r="D24" s="1" t="s">
        <v>27</v>
      </c>
      <c r="E24" s="1" t="s">
        <v>13</v>
      </c>
      <c r="F24" s="1">
        <v>9</v>
      </c>
      <c r="G24" s="1">
        <v>499</v>
      </c>
      <c r="H24" s="1">
        <v>180</v>
      </c>
      <c r="I24" s="1" t="s">
        <v>33</v>
      </c>
      <c r="J24" s="1" t="s">
        <v>52</v>
      </c>
    </row>
    <row r="25" spans="1:10" x14ac:dyDescent="0.3">
      <c r="A25" s="1" t="s">
        <v>401</v>
      </c>
      <c r="B25" s="2" t="s">
        <v>402</v>
      </c>
      <c r="C25" s="1" t="s">
        <v>403</v>
      </c>
      <c r="D25" s="1" t="s">
        <v>141</v>
      </c>
      <c r="E25" s="1" t="s">
        <v>404</v>
      </c>
      <c r="F25" s="1">
        <v>7</v>
      </c>
      <c r="G25" s="1">
        <v>3599</v>
      </c>
      <c r="H25" s="1">
        <v>2400</v>
      </c>
      <c r="I25" s="1" t="s">
        <v>334</v>
      </c>
      <c r="J25" s="1" t="s">
        <v>405</v>
      </c>
    </row>
    <row r="26" spans="1:10" x14ac:dyDescent="0.3">
      <c r="A26" s="1" t="s">
        <v>406</v>
      </c>
      <c r="B26" s="1">
        <v>45695</v>
      </c>
      <c r="C26" s="1" t="s">
        <v>407</v>
      </c>
      <c r="D26" s="1" t="s">
        <v>408</v>
      </c>
      <c r="E26" s="1" t="s">
        <v>409</v>
      </c>
      <c r="F26" s="1">
        <v>3</v>
      </c>
      <c r="G26" s="1">
        <v>3599</v>
      </c>
      <c r="H26" s="1">
        <v>2500</v>
      </c>
      <c r="I26" s="1" t="s">
        <v>410</v>
      </c>
      <c r="J26" s="1" t="s">
        <v>411</v>
      </c>
    </row>
    <row r="27" spans="1:10" x14ac:dyDescent="0.3">
      <c r="A27" s="1" t="s">
        <v>412</v>
      </c>
      <c r="B27" s="2" t="s">
        <v>413</v>
      </c>
      <c r="C27" s="1" t="s">
        <v>414</v>
      </c>
      <c r="D27" s="1" t="s">
        <v>346</v>
      </c>
      <c r="E27" s="1" t="s">
        <v>415</v>
      </c>
      <c r="F27" s="1">
        <v>6</v>
      </c>
      <c r="G27" s="1">
        <v>8899</v>
      </c>
      <c r="H27" s="1">
        <v>7000</v>
      </c>
      <c r="I27" s="1" t="s">
        <v>416</v>
      </c>
      <c r="J27" s="1" t="s">
        <v>349</v>
      </c>
    </row>
    <row r="28" spans="1:10" x14ac:dyDescent="0.3">
      <c r="A28" s="1" t="s">
        <v>417</v>
      </c>
      <c r="B28" s="2" t="s">
        <v>418</v>
      </c>
      <c r="C28" s="1" t="s">
        <v>419</v>
      </c>
      <c r="D28" s="1" t="s">
        <v>301</v>
      </c>
      <c r="E28" s="1" t="s">
        <v>353</v>
      </c>
      <c r="F28" s="1">
        <v>5</v>
      </c>
      <c r="G28" s="1">
        <v>799</v>
      </c>
      <c r="H28" s="1">
        <v>500</v>
      </c>
      <c r="I28" s="1" t="s">
        <v>420</v>
      </c>
      <c r="J28" s="1" t="s">
        <v>421</v>
      </c>
    </row>
    <row r="29" spans="1:10" x14ac:dyDescent="0.3">
      <c r="A29" s="1" t="s">
        <v>168</v>
      </c>
      <c r="B29" s="1">
        <v>45696</v>
      </c>
      <c r="C29" s="1" t="s">
        <v>21</v>
      </c>
      <c r="D29" s="1" t="s">
        <v>22</v>
      </c>
      <c r="E29" s="1" t="s">
        <v>18</v>
      </c>
      <c r="F29" s="1">
        <v>1</v>
      </c>
      <c r="G29" s="1">
        <v>599</v>
      </c>
      <c r="H29" s="2" t="s">
        <v>422</v>
      </c>
      <c r="I29" s="1" t="s">
        <v>19</v>
      </c>
      <c r="J29" s="1" t="s">
        <v>15</v>
      </c>
    </row>
    <row r="30" spans="1:10" x14ac:dyDescent="0.3">
      <c r="A30" s="1" t="s">
        <v>423</v>
      </c>
      <c r="B30" s="2" t="s">
        <v>424</v>
      </c>
      <c r="C30" s="1" t="s">
        <v>352</v>
      </c>
      <c r="D30" s="1" t="s">
        <v>141</v>
      </c>
      <c r="E30" s="1" t="s">
        <v>340</v>
      </c>
      <c r="F30" s="1">
        <v>3</v>
      </c>
      <c r="G30" s="1">
        <v>13199</v>
      </c>
      <c r="H30" s="1">
        <v>10800</v>
      </c>
      <c r="I30" s="1" t="s">
        <v>334</v>
      </c>
      <c r="J30" s="1" t="s">
        <v>335</v>
      </c>
    </row>
    <row r="31" spans="1:10" x14ac:dyDescent="0.3">
      <c r="A31" s="1" t="s">
        <v>116</v>
      </c>
      <c r="B31" s="1">
        <v>45697</v>
      </c>
      <c r="C31" s="1" t="s">
        <v>37</v>
      </c>
      <c r="D31" s="1" t="s">
        <v>38</v>
      </c>
      <c r="E31" s="1" t="s">
        <v>40</v>
      </c>
      <c r="F31" s="1">
        <v>10</v>
      </c>
      <c r="G31" s="1">
        <v>349</v>
      </c>
      <c r="H31" s="1">
        <v>90</v>
      </c>
      <c r="I31" s="1" t="s">
        <v>41</v>
      </c>
      <c r="J31" s="1" t="s">
        <v>370</v>
      </c>
    </row>
    <row r="32" spans="1:10" x14ac:dyDescent="0.3">
      <c r="A32" s="1" t="s">
        <v>115</v>
      </c>
      <c r="B32" s="2" t="s">
        <v>425</v>
      </c>
      <c r="C32" s="1" t="s">
        <v>51</v>
      </c>
      <c r="D32" s="1" t="s">
        <v>31</v>
      </c>
      <c r="E32" s="1" t="s">
        <v>18</v>
      </c>
      <c r="F32" s="1">
        <v>6</v>
      </c>
      <c r="G32" s="2" t="s">
        <v>426</v>
      </c>
      <c r="H32" s="1">
        <v>1800</v>
      </c>
      <c r="I32" s="1" t="s">
        <v>24</v>
      </c>
      <c r="J32" s="1" t="s">
        <v>52</v>
      </c>
    </row>
    <row r="33" spans="1:10" x14ac:dyDescent="0.3">
      <c r="A33" s="1" t="s">
        <v>76</v>
      </c>
      <c r="B33" s="2" t="s">
        <v>427</v>
      </c>
      <c r="C33" s="1" t="s">
        <v>428</v>
      </c>
      <c r="D33" s="1" t="s">
        <v>429</v>
      </c>
      <c r="E33" s="1" t="s">
        <v>430</v>
      </c>
      <c r="F33" s="1">
        <v>3</v>
      </c>
      <c r="G33" s="1">
        <v>9199</v>
      </c>
      <c r="H33" s="2" t="s">
        <v>431</v>
      </c>
      <c r="I33" s="1" t="s">
        <v>356</v>
      </c>
      <c r="J33" s="1" t="s">
        <v>34</v>
      </c>
    </row>
    <row r="34" spans="1:10" x14ac:dyDescent="0.3">
      <c r="A34" s="1" t="s">
        <v>177</v>
      </c>
      <c r="B34" s="1">
        <v>45700</v>
      </c>
      <c r="C34" s="1" t="s">
        <v>91</v>
      </c>
      <c r="D34" s="1" t="s">
        <v>38</v>
      </c>
      <c r="E34" s="1" t="s">
        <v>32</v>
      </c>
      <c r="F34" s="2" t="s">
        <v>432</v>
      </c>
      <c r="G34" s="1">
        <v>999</v>
      </c>
      <c r="H34" s="1">
        <v>500</v>
      </c>
      <c r="I34" s="1" t="s">
        <v>19</v>
      </c>
      <c r="J34" s="1" t="s">
        <v>34</v>
      </c>
    </row>
    <row r="35" spans="1:10" x14ac:dyDescent="0.3">
      <c r="A35" s="1" t="s">
        <v>177</v>
      </c>
      <c r="B35" s="1">
        <v>45700</v>
      </c>
      <c r="C35" s="1" t="s">
        <v>91</v>
      </c>
      <c r="D35" s="1" t="s">
        <v>38</v>
      </c>
      <c r="E35" s="1" t="s">
        <v>32</v>
      </c>
      <c r="F35" s="2" t="s">
        <v>432</v>
      </c>
      <c r="G35" s="1">
        <v>999</v>
      </c>
      <c r="H35" s="1">
        <v>500</v>
      </c>
      <c r="I35" s="1" t="s">
        <v>19</v>
      </c>
      <c r="J35" s="1" t="s">
        <v>34</v>
      </c>
    </row>
    <row r="36" spans="1:10" x14ac:dyDescent="0.3">
      <c r="A36" s="1" t="s">
        <v>433</v>
      </c>
      <c r="B36" s="2" t="s">
        <v>434</v>
      </c>
      <c r="C36" s="1" t="s">
        <v>435</v>
      </c>
      <c r="D36" s="1" t="s">
        <v>146</v>
      </c>
      <c r="E36" s="1" t="s">
        <v>436</v>
      </c>
      <c r="F36" s="1">
        <v>3</v>
      </c>
      <c r="G36" s="1">
        <v>399</v>
      </c>
      <c r="H36" s="1">
        <v>180</v>
      </c>
      <c r="I36" s="1" t="s">
        <v>396</v>
      </c>
      <c r="J36" s="1" t="s">
        <v>370</v>
      </c>
    </row>
    <row r="37" spans="1:10" x14ac:dyDescent="0.3">
      <c r="A37" s="1">
        <v>67364</v>
      </c>
      <c r="B37" s="2" t="s">
        <v>437</v>
      </c>
      <c r="C37" s="1" t="s">
        <v>438</v>
      </c>
      <c r="D37" s="1" t="s">
        <v>439</v>
      </c>
      <c r="E37" s="1" t="s">
        <v>440</v>
      </c>
      <c r="F37" s="1">
        <v>2</v>
      </c>
      <c r="G37" s="2" t="s">
        <v>441</v>
      </c>
      <c r="H37" s="1">
        <v>90</v>
      </c>
      <c r="I37" s="1" t="s">
        <v>416</v>
      </c>
      <c r="J37" s="1" t="s">
        <v>387</v>
      </c>
    </row>
    <row r="38" spans="1:10" x14ac:dyDescent="0.3">
      <c r="A38" s="1"/>
      <c r="B38" s="1">
        <v>45704</v>
      </c>
      <c r="C38" s="1" t="s">
        <v>46</v>
      </c>
      <c r="D38" s="1" t="s">
        <v>27</v>
      </c>
      <c r="E38" s="1" t="s">
        <v>23</v>
      </c>
      <c r="F38" s="1">
        <v>7</v>
      </c>
      <c r="G38" s="1">
        <v>99</v>
      </c>
      <c r="H38" s="1">
        <v>120</v>
      </c>
      <c r="I38" s="1" t="s">
        <v>14</v>
      </c>
      <c r="J38" s="1" t="s">
        <v>26</v>
      </c>
    </row>
    <row r="39" spans="1:10" x14ac:dyDescent="0.3">
      <c r="A39" s="1" t="s">
        <v>322</v>
      </c>
      <c r="B39" s="1">
        <v>45705</v>
      </c>
      <c r="C39" s="1" t="s">
        <v>11</v>
      </c>
      <c r="D39" s="1" t="s">
        <v>12</v>
      </c>
      <c r="E39" s="1" t="s">
        <v>18</v>
      </c>
      <c r="F39" s="1">
        <v>7</v>
      </c>
      <c r="G39" s="1">
        <v>6799</v>
      </c>
      <c r="H39" s="1"/>
      <c r="I39" s="1" t="s">
        <v>19</v>
      </c>
      <c r="J39" s="1" t="s">
        <v>15</v>
      </c>
    </row>
    <row r="40" spans="1:10" x14ac:dyDescent="0.3">
      <c r="A40" s="1" t="s">
        <v>442</v>
      </c>
      <c r="B40" s="2" t="s">
        <v>443</v>
      </c>
      <c r="C40" s="1" t="s">
        <v>444</v>
      </c>
      <c r="D40" s="1" t="s">
        <v>445</v>
      </c>
      <c r="E40" s="1" t="s">
        <v>409</v>
      </c>
      <c r="F40" s="1">
        <v>7</v>
      </c>
      <c r="G40" s="1">
        <v>15999</v>
      </c>
      <c r="H40" s="1">
        <v>13500</v>
      </c>
      <c r="I40" s="1" t="s">
        <v>410</v>
      </c>
      <c r="J40" s="1" t="s">
        <v>446</v>
      </c>
    </row>
    <row r="41" spans="1:10" x14ac:dyDescent="0.3">
      <c r="A41" s="1" t="s">
        <v>447</v>
      </c>
      <c r="B41" s="2" t="s">
        <v>448</v>
      </c>
      <c r="C41" s="1" t="s">
        <v>449</v>
      </c>
      <c r="D41" s="1" t="s">
        <v>146</v>
      </c>
      <c r="E41" s="1" t="s">
        <v>340</v>
      </c>
      <c r="F41" s="1">
        <v>8</v>
      </c>
      <c r="G41" s="1">
        <v>99</v>
      </c>
      <c r="H41" s="1">
        <v>120</v>
      </c>
      <c r="I41" s="1" t="s">
        <v>334</v>
      </c>
      <c r="J41" s="1" t="s">
        <v>376</v>
      </c>
    </row>
    <row r="42" spans="1:10" x14ac:dyDescent="0.3">
      <c r="A42" s="1" t="s">
        <v>256</v>
      </c>
      <c r="B42" s="1">
        <v>45706</v>
      </c>
      <c r="C42" s="1" t="s">
        <v>60</v>
      </c>
      <c r="D42" s="1" t="s">
        <v>31</v>
      </c>
      <c r="E42" s="1"/>
      <c r="F42" s="1">
        <v>7</v>
      </c>
      <c r="G42" s="1"/>
      <c r="H42" s="2" t="s">
        <v>450</v>
      </c>
      <c r="I42" s="1" t="s">
        <v>14</v>
      </c>
      <c r="J42" s="1" t="s">
        <v>370</v>
      </c>
    </row>
    <row r="43" spans="1:10" x14ac:dyDescent="0.3">
      <c r="A43" s="1" t="s">
        <v>451</v>
      </c>
      <c r="B43" s="2" t="s">
        <v>452</v>
      </c>
      <c r="C43" s="1" t="s">
        <v>453</v>
      </c>
      <c r="D43" s="1" t="s">
        <v>454</v>
      </c>
      <c r="E43" s="1" t="s">
        <v>404</v>
      </c>
      <c r="F43" s="1">
        <v>8</v>
      </c>
      <c r="G43" s="1">
        <v>2699</v>
      </c>
      <c r="H43" s="1">
        <v>1400</v>
      </c>
      <c r="I43" s="1" t="s">
        <v>341</v>
      </c>
      <c r="J43" s="1" t="s">
        <v>15</v>
      </c>
    </row>
    <row r="44" spans="1:10" x14ac:dyDescent="0.3">
      <c r="A44" s="1" t="s">
        <v>235</v>
      </c>
      <c r="B44" s="1">
        <v>45709</v>
      </c>
      <c r="C44" s="1" t="s">
        <v>16</v>
      </c>
      <c r="D44" s="1" t="s">
        <v>17</v>
      </c>
      <c r="E44" s="1" t="s">
        <v>40</v>
      </c>
      <c r="F44" s="1"/>
      <c r="G44" s="1">
        <v>3299</v>
      </c>
      <c r="H44" s="1">
        <v>2500</v>
      </c>
      <c r="I44" s="1" t="s">
        <v>33</v>
      </c>
      <c r="J44" s="1" t="s">
        <v>34</v>
      </c>
    </row>
    <row r="45" spans="1:10" x14ac:dyDescent="0.3">
      <c r="A45" s="1" t="s">
        <v>246</v>
      </c>
      <c r="B45" s="2" t="s">
        <v>455</v>
      </c>
      <c r="C45" s="1" t="s">
        <v>456</v>
      </c>
      <c r="D45" s="1" t="s">
        <v>457</v>
      </c>
      <c r="E45" s="1" t="s">
        <v>430</v>
      </c>
      <c r="F45" s="1">
        <v>1</v>
      </c>
      <c r="G45" s="2" t="s">
        <v>458</v>
      </c>
      <c r="H45" s="1">
        <v>10800</v>
      </c>
      <c r="I45" s="1" t="s">
        <v>356</v>
      </c>
      <c r="J45" s="1" t="s">
        <v>34</v>
      </c>
    </row>
    <row r="46" spans="1:10" x14ac:dyDescent="0.3">
      <c r="A46" s="1" t="s">
        <v>459</v>
      </c>
      <c r="B46" s="2" t="s">
        <v>460</v>
      </c>
      <c r="C46" s="1" t="s">
        <v>461</v>
      </c>
      <c r="D46" s="1" t="s">
        <v>462</v>
      </c>
      <c r="E46" s="1" t="s">
        <v>463</v>
      </c>
      <c r="F46" s="1">
        <v>5</v>
      </c>
      <c r="G46" s="1">
        <v>8999</v>
      </c>
      <c r="H46" s="1">
        <v>7000</v>
      </c>
      <c r="I46" s="1" t="s">
        <v>464</v>
      </c>
      <c r="J46" s="1" t="s">
        <v>465</v>
      </c>
    </row>
    <row r="47" spans="1:10" x14ac:dyDescent="0.3">
      <c r="A47" s="1" t="s">
        <v>313</v>
      </c>
      <c r="B47" s="1">
        <v>45719</v>
      </c>
      <c r="C47" s="1" t="s">
        <v>21</v>
      </c>
      <c r="D47" s="1" t="s">
        <v>22</v>
      </c>
      <c r="E47" s="1" t="s">
        <v>23</v>
      </c>
      <c r="F47" s="1">
        <v>10</v>
      </c>
      <c r="G47" s="1">
        <v>699</v>
      </c>
      <c r="H47" s="2" t="s">
        <v>422</v>
      </c>
      <c r="I47" s="1" t="s">
        <v>24</v>
      </c>
      <c r="J47" s="1" t="s">
        <v>15</v>
      </c>
    </row>
    <row r="48" spans="1:10" x14ac:dyDescent="0.3">
      <c r="A48" s="1" t="s">
        <v>253</v>
      </c>
      <c r="B48" s="1">
        <v>45720</v>
      </c>
      <c r="C48" s="1" t="s">
        <v>60</v>
      </c>
      <c r="D48" s="1" t="s">
        <v>31</v>
      </c>
      <c r="E48" s="1" t="s">
        <v>32</v>
      </c>
      <c r="F48" s="1">
        <v>5</v>
      </c>
      <c r="G48" s="1">
        <v>3599</v>
      </c>
      <c r="H48" s="1">
        <v>2400</v>
      </c>
      <c r="I48" s="1"/>
      <c r="J48" s="1" t="s">
        <v>26</v>
      </c>
    </row>
    <row r="49" spans="1:10" x14ac:dyDescent="0.3">
      <c r="A49" s="1">
        <v>39480</v>
      </c>
      <c r="B49" s="2" t="s">
        <v>466</v>
      </c>
      <c r="C49" s="1" t="s">
        <v>49</v>
      </c>
      <c r="D49" s="1" t="s">
        <v>22</v>
      </c>
      <c r="E49" s="1" t="s">
        <v>18</v>
      </c>
      <c r="F49" s="1">
        <v>3</v>
      </c>
      <c r="G49" s="1">
        <v>2299</v>
      </c>
      <c r="H49" s="1">
        <v>1400</v>
      </c>
      <c r="I49" s="1" t="s">
        <v>19</v>
      </c>
      <c r="J49" s="1" t="s">
        <v>34</v>
      </c>
    </row>
    <row r="50" spans="1:10" x14ac:dyDescent="0.3">
      <c r="A50" s="1" t="s">
        <v>467</v>
      </c>
      <c r="B50" s="1">
        <v>45729</v>
      </c>
      <c r="C50" s="1" t="s">
        <v>338</v>
      </c>
      <c r="D50" s="1" t="s">
        <v>339</v>
      </c>
      <c r="E50" s="1" t="s">
        <v>436</v>
      </c>
      <c r="F50" s="1">
        <v>6</v>
      </c>
      <c r="G50" s="2" t="s">
        <v>468</v>
      </c>
      <c r="H50" s="1">
        <v>7000</v>
      </c>
      <c r="I50" s="1" t="s">
        <v>334</v>
      </c>
      <c r="J50" s="1" t="s">
        <v>15</v>
      </c>
    </row>
    <row r="51" spans="1:10" x14ac:dyDescent="0.3">
      <c r="A51" s="1" t="s">
        <v>469</v>
      </c>
      <c r="B51" s="2" t="s">
        <v>470</v>
      </c>
      <c r="C51" s="1" t="s">
        <v>471</v>
      </c>
      <c r="D51" s="1" t="s">
        <v>141</v>
      </c>
      <c r="E51" s="1" t="s">
        <v>353</v>
      </c>
      <c r="F51" s="1">
        <v>2</v>
      </c>
      <c r="G51" s="1">
        <v>2199</v>
      </c>
      <c r="H51" s="1">
        <v>1200</v>
      </c>
      <c r="I51" s="1" t="s">
        <v>334</v>
      </c>
      <c r="J51" s="1" t="s">
        <v>335</v>
      </c>
    </row>
    <row r="52" spans="1:10" x14ac:dyDescent="0.3">
      <c r="A52" s="1" t="s">
        <v>291</v>
      </c>
      <c r="B52" s="2" t="s">
        <v>472</v>
      </c>
      <c r="C52" s="1" t="s">
        <v>37</v>
      </c>
      <c r="D52" s="1" t="s">
        <v>38</v>
      </c>
      <c r="E52" s="1" t="s">
        <v>28</v>
      </c>
      <c r="F52" s="2" t="s">
        <v>432</v>
      </c>
      <c r="G52" s="1">
        <v>49</v>
      </c>
      <c r="H52" s="1">
        <v>90</v>
      </c>
      <c r="I52" s="1" t="s">
        <v>19</v>
      </c>
      <c r="J52" s="1" t="s">
        <v>370</v>
      </c>
    </row>
    <row r="53" spans="1:10" x14ac:dyDescent="0.3">
      <c r="A53" s="1" t="s">
        <v>473</v>
      </c>
      <c r="B53" s="2" t="s">
        <v>474</v>
      </c>
      <c r="C53" s="1" t="s">
        <v>475</v>
      </c>
      <c r="D53" s="1" t="s">
        <v>476</v>
      </c>
      <c r="E53" s="1" t="s">
        <v>409</v>
      </c>
      <c r="F53" s="1">
        <v>2</v>
      </c>
      <c r="G53" s="1">
        <v>7099</v>
      </c>
      <c r="H53" s="2" t="s">
        <v>477</v>
      </c>
      <c r="I53" s="1" t="s">
        <v>410</v>
      </c>
      <c r="J53" s="1" t="s">
        <v>478</v>
      </c>
    </row>
    <row r="54" spans="1:10" x14ac:dyDescent="0.3">
      <c r="A54" s="1" t="s">
        <v>245</v>
      </c>
      <c r="B54" s="1">
        <v>45732</v>
      </c>
      <c r="C54" s="1" t="s">
        <v>54</v>
      </c>
      <c r="D54" s="1" t="s">
        <v>27</v>
      </c>
      <c r="E54" s="1" t="s">
        <v>23</v>
      </c>
      <c r="F54" s="1">
        <v>1</v>
      </c>
      <c r="G54" s="1">
        <v>199</v>
      </c>
      <c r="H54" s="1">
        <v>180</v>
      </c>
      <c r="I54" s="1" t="s">
        <v>19</v>
      </c>
      <c r="J54" s="1"/>
    </row>
    <row r="55" spans="1:10" x14ac:dyDescent="0.3">
      <c r="A55" s="1" t="s">
        <v>479</v>
      </c>
      <c r="B55" s="2" t="s">
        <v>480</v>
      </c>
      <c r="C55" s="1" t="s">
        <v>382</v>
      </c>
      <c r="D55" s="1" t="s">
        <v>383</v>
      </c>
      <c r="E55" s="1" t="s">
        <v>481</v>
      </c>
      <c r="F55" s="1">
        <v>6</v>
      </c>
      <c r="G55" s="1">
        <v>2999</v>
      </c>
      <c r="H55" s="1">
        <v>1800</v>
      </c>
      <c r="I55" s="1" t="s">
        <v>348</v>
      </c>
      <c r="J55" s="1" t="s">
        <v>482</v>
      </c>
    </row>
    <row r="56" spans="1:10" x14ac:dyDescent="0.3">
      <c r="A56" s="1" t="s">
        <v>323</v>
      </c>
      <c r="B56" s="2" t="s">
        <v>483</v>
      </c>
      <c r="C56" s="1" t="s">
        <v>484</v>
      </c>
      <c r="D56" s="1" t="s">
        <v>485</v>
      </c>
      <c r="E56" s="1" t="s">
        <v>430</v>
      </c>
      <c r="F56" s="1">
        <v>8</v>
      </c>
      <c r="G56" s="2" t="s">
        <v>486</v>
      </c>
      <c r="H56" s="1">
        <v>90</v>
      </c>
      <c r="I56" s="1" t="s">
        <v>356</v>
      </c>
      <c r="J56" s="1" t="s">
        <v>487</v>
      </c>
    </row>
    <row r="57" spans="1:10" x14ac:dyDescent="0.3">
      <c r="A57" s="1" t="s">
        <v>488</v>
      </c>
      <c r="B57" s="2" t="s">
        <v>489</v>
      </c>
      <c r="C57" s="1" t="s">
        <v>490</v>
      </c>
      <c r="D57" s="1" t="s">
        <v>394</v>
      </c>
      <c r="E57" s="1" t="s">
        <v>436</v>
      </c>
      <c r="F57" s="1">
        <v>3</v>
      </c>
      <c r="G57" s="1">
        <v>5399</v>
      </c>
      <c r="H57" s="1">
        <v>3800</v>
      </c>
      <c r="I57" s="1" t="s">
        <v>334</v>
      </c>
      <c r="J57" s="1" t="s">
        <v>491</v>
      </c>
    </row>
    <row r="58" spans="1:10" x14ac:dyDescent="0.3">
      <c r="A58" s="1" t="s">
        <v>218</v>
      </c>
      <c r="B58" s="2" t="s">
        <v>492</v>
      </c>
      <c r="C58" s="1" t="s">
        <v>11</v>
      </c>
      <c r="D58" s="1" t="s">
        <v>12</v>
      </c>
      <c r="E58" s="1" t="s">
        <v>32</v>
      </c>
      <c r="F58" s="1">
        <v>7</v>
      </c>
      <c r="G58" s="1">
        <v>6899</v>
      </c>
      <c r="H58" s="1">
        <v>5000</v>
      </c>
      <c r="I58" s="1" t="s">
        <v>33</v>
      </c>
      <c r="J58" s="1" t="s">
        <v>55</v>
      </c>
    </row>
    <row r="59" spans="1:10" x14ac:dyDescent="0.3">
      <c r="A59" s="1" t="s">
        <v>133</v>
      </c>
      <c r="B59" s="1">
        <v>45737</v>
      </c>
      <c r="C59" s="1" t="s">
        <v>91</v>
      </c>
      <c r="D59" s="1" t="s">
        <v>38</v>
      </c>
      <c r="E59" s="1" t="s">
        <v>28</v>
      </c>
      <c r="F59" s="1">
        <v>5</v>
      </c>
      <c r="G59" s="1">
        <v>799</v>
      </c>
      <c r="H59" s="1">
        <v>500</v>
      </c>
      <c r="I59" s="1" t="s">
        <v>19</v>
      </c>
      <c r="J59" s="1" t="s">
        <v>52</v>
      </c>
    </row>
    <row r="60" spans="1:10" x14ac:dyDescent="0.3">
      <c r="A60" s="1" t="s">
        <v>92</v>
      </c>
      <c r="B60" s="1">
        <v>45738</v>
      </c>
      <c r="C60" s="1" t="s">
        <v>11</v>
      </c>
      <c r="D60" s="1" t="s">
        <v>12</v>
      </c>
      <c r="E60" s="1" t="s">
        <v>23</v>
      </c>
      <c r="F60" s="1">
        <v>1</v>
      </c>
      <c r="G60" s="1">
        <v>7099</v>
      </c>
      <c r="H60" s="1">
        <v>5000</v>
      </c>
      <c r="I60" s="1" t="s">
        <v>19</v>
      </c>
      <c r="J60" s="1" t="s">
        <v>34</v>
      </c>
    </row>
    <row r="61" spans="1:10" x14ac:dyDescent="0.3">
      <c r="A61" s="1">
        <v>49033</v>
      </c>
      <c r="B61" s="2" t="s">
        <v>493</v>
      </c>
      <c r="C61" s="1" t="s">
        <v>403</v>
      </c>
      <c r="D61" s="1" t="s">
        <v>141</v>
      </c>
      <c r="E61" s="1" t="s">
        <v>340</v>
      </c>
      <c r="F61" s="1">
        <v>9</v>
      </c>
      <c r="G61" s="1">
        <v>3499</v>
      </c>
      <c r="H61" s="1">
        <v>2400</v>
      </c>
      <c r="I61" s="1" t="s">
        <v>334</v>
      </c>
      <c r="J61" s="1" t="s">
        <v>491</v>
      </c>
    </row>
    <row r="62" spans="1:10" x14ac:dyDescent="0.3">
      <c r="A62" s="1" t="s">
        <v>73</v>
      </c>
      <c r="B62" s="1">
        <v>45739</v>
      </c>
      <c r="C62" s="1" t="s">
        <v>74</v>
      </c>
      <c r="D62" s="1" t="s">
        <v>31</v>
      </c>
      <c r="E62" s="1" t="s">
        <v>13</v>
      </c>
      <c r="F62" s="1">
        <v>10</v>
      </c>
      <c r="G62" s="1">
        <v>1899</v>
      </c>
      <c r="H62" s="1">
        <v>1200</v>
      </c>
      <c r="I62" s="1" t="s">
        <v>19</v>
      </c>
      <c r="J62" s="1" t="s">
        <v>52</v>
      </c>
    </row>
    <row r="63" spans="1:10" x14ac:dyDescent="0.3">
      <c r="A63" s="1" t="s">
        <v>25</v>
      </c>
      <c r="B63" s="1">
        <v>45740</v>
      </c>
      <c r="C63" s="1" t="s">
        <v>494</v>
      </c>
      <c r="D63" s="1" t="s">
        <v>22</v>
      </c>
      <c r="E63" s="1" t="s">
        <v>18</v>
      </c>
      <c r="F63" s="1">
        <v>3</v>
      </c>
      <c r="G63" s="1">
        <v>799</v>
      </c>
      <c r="H63" s="1">
        <v>350</v>
      </c>
      <c r="I63" s="1" t="s">
        <v>24</v>
      </c>
      <c r="J63" s="1" t="s">
        <v>26</v>
      </c>
    </row>
    <row r="64" spans="1:10" x14ac:dyDescent="0.3">
      <c r="A64" s="1" t="s">
        <v>495</v>
      </c>
      <c r="B64" s="2" t="s">
        <v>496</v>
      </c>
      <c r="C64" s="1" t="s">
        <v>497</v>
      </c>
      <c r="D64" s="1" t="s">
        <v>498</v>
      </c>
      <c r="E64" s="1" t="s">
        <v>347</v>
      </c>
      <c r="F64" s="1">
        <v>4</v>
      </c>
      <c r="G64" s="1">
        <v>799</v>
      </c>
      <c r="H64" s="2" t="s">
        <v>499</v>
      </c>
      <c r="I64" s="1" t="s">
        <v>500</v>
      </c>
      <c r="J64" s="1" t="s">
        <v>501</v>
      </c>
    </row>
    <row r="65" spans="1:10" x14ac:dyDescent="0.3">
      <c r="A65" s="1" t="s">
        <v>240</v>
      </c>
      <c r="B65" s="2" t="s">
        <v>502</v>
      </c>
      <c r="C65" s="1" t="s">
        <v>37</v>
      </c>
      <c r="D65" s="1" t="s">
        <v>38</v>
      </c>
      <c r="E65" s="1" t="s">
        <v>28</v>
      </c>
      <c r="F65" s="1">
        <v>7</v>
      </c>
      <c r="G65" s="1">
        <v>149</v>
      </c>
      <c r="H65" s="2" t="s">
        <v>503</v>
      </c>
      <c r="I65" s="1" t="s">
        <v>24</v>
      </c>
      <c r="J65" s="1" t="s">
        <v>370</v>
      </c>
    </row>
    <row r="66" spans="1:10" x14ac:dyDescent="0.3">
      <c r="A66" s="1" t="s">
        <v>504</v>
      </c>
      <c r="B66" s="2" t="s">
        <v>505</v>
      </c>
      <c r="C66" s="1" t="s">
        <v>506</v>
      </c>
      <c r="D66" s="1" t="s">
        <v>507</v>
      </c>
      <c r="E66" s="1" t="s">
        <v>409</v>
      </c>
      <c r="F66" s="1">
        <v>3</v>
      </c>
      <c r="G66" s="1">
        <v>8999</v>
      </c>
      <c r="H66" s="1">
        <v>7000</v>
      </c>
      <c r="I66" s="1" t="s">
        <v>508</v>
      </c>
      <c r="J66" s="1" t="s">
        <v>509</v>
      </c>
    </row>
    <row r="67" spans="1:10" x14ac:dyDescent="0.3">
      <c r="A67" s="1" t="s">
        <v>258</v>
      </c>
      <c r="B67" s="2" t="s">
        <v>510</v>
      </c>
      <c r="C67" s="1" t="s">
        <v>511</v>
      </c>
      <c r="D67" s="1" t="s">
        <v>512</v>
      </c>
      <c r="E67" s="1" t="s">
        <v>430</v>
      </c>
      <c r="F67" s="1">
        <v>4</v>
      </c>
      <c r="G67" s="2" t="s">
        <v>513</v>
      </c>
      <c r="H67" s="1">
        <v>3800</v>
      </c>
      <c r="I67" s="1" t="s">
        <v>356</v>
      </c>
      <c r="J67" s="1" t="s">
        <v>34</v>
      </c>
    </row>
    <row r="68" spans="1:10" x14ac:dyDescent="0.3">
      <c r="A68" s="1" t="s">
        <v>152</v>
      </c>
      <c r="B68" s="1">
        <v>45745</v>
      </c>
      <c r="C68" s="1" t="s">
        <v>46</v>
      </c>
      <c r="D68" s="1" t="s">
        <v>27</v>
      </c>
      <c r="E68" s="1" t="s">
        <v>340</v>
      </c>
      <c r="F68" s="1">
        <v>8</v>
      </c>
      <c r="G68" s="2" t="s">
        <v>514</v>
      </c>
      <c r="H68" s="1">
        <v>120</v>
      </c>
      <c r="I68" s="1" t="s">
        <v>14</v>
      </c>
      <c r="J68" s="1" t="s">
        <v>34</v>
      </c>
    </row>
    <row r="69" spans="1:10" x14ac:dyDescent="0.3">
      <c r="A69" s="1" t="s">
        <v>199</v>
      </c>
      <c r="B69" s="2" t="s">
        <v>515</v>
      </c>
      <c r="C69" s="1" t="s">
        <v>51</v>
      </c>
      <c r="D69" s="1" t="s">
        <v>31</v>
      </c>
      <c r="E69" s="1" t="s">
        <v>28</v>
      </c>
      <c r="F69" s="2" t="s">
        <v>516</v>
      </c>
      <c r="G69" s="1">
        <v>3099</v>
      </c>
      <c r="H69" s="1">
        <v>1800</v>
      </c>
      <c r="I69" s="1" t="s">
        <v>24</v>
      </c>
      <c r="J69" s="1" t="s">
        <v>52</v>
      </c>
    </row>
    <row r="70" spans="1:10" x14ac:dyDescent="0.3">
      <c r="A70" s="1" t="s">
        <v>199</v>
      </c>
      <c r="B70" s="2" t="s">
        <v>515</v>
      </c>
      <c r="C70" s="1" t="s">
        <v>51</v>
      </c>
      <c r="D70" s="1" t="s">
        <v>31</v>
      </c>
      <c r="E70" s="1" t="s">
        <v>28</v>
      </c>
      <c r="F70" s="2" t="s">
        <v>516</v>
      </c>
      <c r="G70" s="1">
        <v>3099</v>
      </c>
      <c r="H70" s="1">
        <v>1800</v>
      </c>
      <c r="I70" s="1" t="s">
        <v>24</v>
      </c>
      <c r="J70" s="1" t="s">
        <v>52</v>
      </c>
    </row>
    <row r="71" spans="1:10" x14ac:dyDescent="0.3">
      <c r="A71" s="1" t="s">
        <v>264</v>
      </c>
      <c r="B71" s="2" t="s">
        <v>517</v>
      </c>
      <c r="C71" s="1" t="s">
        <v>91</v>
      </c>
      <c r="D71" s="1" t="s">
        <v>38</v>
      </c>
      <c r="E71" s="1" t="s">
        <v>23</v>
      </c>
      <c r="F71" s="1">
        <v>9</v>
      </c>
      <c r="G71" s="1">
        <v>699</v>
      </c>
      <c r="H71" s="1">
        <v>500</v>
      </c>
      <c r="I71" s="1" t="s">
        <v>41</v>
      </c>
      <c r="J71" s="1" t="s">
        <v>370</v>
      </c>
    </row>
    <row r="72" spans="1:10" x14ac:dyDescent="0.3">
      <c r="A72" s="1" t="s">
        <v>518</v>
      </c>
      <c r="B72" s="2" t="s">
        <v>519</v>
      </c>
      <c r="C72" s="1" t="s">
        <v>435</v>
      </c>
      <c r="D72" s="1" t="s">
        <v>146</v>
      </c>
      <c r="E72" s="1" t="s">
        <v>340</v>
      </c>
      <c r="F72" s="1">
        <v>5</v>
      </c>
      <c r="G72" s="1">
        <v>499</v>
      </c>
      <c r="H72" s="1">
        <v>180</v>
      </c>
      <c r="I72" s="1" t="s">
        <v>341</v>
      </c>
      <c r="J72" s="1" t="s">
        <v>370</v>
      </c>
    </row>
    <row r="73" spans="1:10" x14ac:dyDescent="0.3">
      <c r="A73" s="1" t="s">
        <v>243</v>
      </c>
      <c r="B73" s="1">
        <v>45752</v>
      </c>
      <c r="C73" s="1" t="s">
        <v>74</v>
      </c>
      <c r="D73" s="1" t="s">
        <v>31</v>
      </c>
      <c r="E73" s="1" t="s">
        <v>23</v>
      </c>
      <c r="F73" s="1">
        <v>1</v>
      </c>
      <c r="G73" s="1">
        <v>2099</v>
      </c>
      <c r="H73" s="2" t="s">
        <v>520</v>
      </c>
      <c r="I73" s="1" t="s">
        <v>19</v>
      </c>
      <c r="J73" s="1" t="s">
        <v>34</v>
      </c>
    </row>
    <row r="74" spans="1:10" x14ac:dyDescent="0.3">
      <c r="A74" s="1">
        <v>78254</v>
      </c>
      <c r="B74" s="2" t="s">
        <v>521</v>
      </c>
      <c r="C74" s="1" t="s">
        <v>522</v>
      </c>
      <c r="D74" s="1" t="s">
        <v>523</v>
      </c>
      <c r="E74" s="1" t="s">
        <v>440</v>
      </c>
      <c r="F74" s="1">
        <v>10</v>
      </c>
      <c r="G74" s="1">
        <v>199</v>
      </c>
      <c r="H74" s="1">
        <v>120</v>
      </c>
      <c r="I74" s="1" t="s">
        <v>416</v>
      </c>
      <c r="J74" s="1" t="s">
        <v>465</v>
      </c>
    </row>
    <row r="75" spans="1:10" x14ac:dyDescent="0.3">
      <c r="A75" s="1" t="s">
        <v>257</v>
      </c>
      <c r="B75" s="1">
        <v>45754</v>
      </c>
      <c r="C75" s="1" t="s">
        <v>54</v>
      </c>
      <c r="D75" s="1" t="s">
        <v>27</v>
      </c>
      <c r="E75" s="1" t="s">
        <v>18</v>
      </c>
      <c r="F75" s="1">
        <v>10</v>
      </c>
      <c r="G75" s="1">
        <v>199</v>
      </c>
      <c r="H75" s="1">
        <v>180</v>
      </c>
      <c r="I75" s="1" t="s">
        <v>19</v>
      </c>
      <c r="J75" s="1" t="s">
        <v>15</v>
      </c>
    </row>
    <row r="76" spans="1:10" x14ac:dyDescent="0.3">
      <c r="A76" s="1"/>
      <c r="B76" s="1">
        <v>45755</v>
      </c>
      <c r="C76" s="1" t="s">
        <v>16</v>
      </c>
      <c r="D76" s="1" t="s">
        <v>17</v>
      </c>
      <c r="E76" s="1" t="s">
        <v>18</v>
      </c>
      <c r="F76" s="1">
        <v>9</v>
      </c>
      <c r="G76" s="2" t="s">
        <v>524</v>
      </c>
      <c r="H76" s="1">
        <v>2500</v>
      </c>
      <c r="I76" s="1" t="s">
        <v>41</v>
      </c>
      <c r="J76" s="1" t="s">
        <v>26</v>
      </c>
    </row>
    <row r="77" spans="1:10" x14ac:dyDescent="0.3">
      <c r="A77" s="1" t="s">
        <v>525</v>
      </c>
      <c r="B77" s="2" t="s">
        <v>526</v>
      </c>
      <c r="C77" s="1" t="s">
        <v>403</v>
      </c>
      <c r="D77" s="1" t="s">
        <v>141</v>
      </c>
      <c r="E77" s="1" t="s">
        <v>368</v>
      </c>
      <c r="F77" s="1">
        <v>8</v>
      </c>
      <c r="G77" s="1">
        <v>3699</v>
      </c>
      <c r="H77" s="1">
        <v>2400</v>
      </c>
      <c r="I77" s="1" t="s">
        <v>334</v>
      </c>
      <c r="J77" s="1" t="s">
        <v>376</v>
      </c>
    </row>
    <row r="78" spans="1:10" x14ac:dyDescent="0.3">
      <c r="A78" s="1" t="s">
        <v>210</v>
      </c>
      <c r="B78" s="2" t="s">
        <v>527</v>
      </c>
      <c r="C78" s="1" t="s">
        <v>46</v>
      </c>
      <c r="D78" s="1" t="s">
        <v>27</v>
      </c>
      <c r="E78" s="1" t="s">
        <v>32</v>
      </c>
      <c r="F78" s="1">
        <v>6</v>
      </c>
      <c r="G78" s="1">
        <v>299</v>
      </c>
      <c r="H78" s="1">
        <v>120</v>
      </c>
      <c r="I78" s="1" t="s">
        <v>19</v>
      </c>
      <c r="J78" s="1" t="s">
        <v>47</v>
      </c>
    </row>
    <row r="79" spans="1:10" x14ac:dyDescent="0.3">
      <c r="A79" s="1" t="s">
        <v>81</v>
      </c>
      <c r="B79" s="1">
        <v>45758</v>
      </c>
      <c r="C79" s="1" t="s">
        <v>484</v>
      </c>
      <c r="D79" s="1" t="s">
        <v>485</v>
      </c>
      <c r="E79" s="1" t="s">
        <v>40</v>
      </c>
      <c r="F79" s="1">
        <v>3</v>
      </c>
      <c r="G79" s="1">
        <v>449</v>
      </c>
      <c r="H79" s="1">
        <v>90</v>
      </c>
      <c r="I79" s="1" t="s">
        <v>528</v>
      </c>
      <c r="J79" s="1" t="s">
        <v>487</v>
      </c>
    </row>
    <row r="80" spans="1:10" x14ac:dyDescent="0.3">
      <c r="A80" s="1" t="s">
        <v>529</v>
      </c>
      <c r="B80" s="2" t="s">
        <v>530</v>
      </c>
      <c r="C80" s="1" t="s">
        <v>531</v>
      </c>
      <c r="D80" s="1" t="s">
        <v>476</v>
      </c>
      <c r="E80" s="1" t="s">
        <v>532</v>
      </c>
      <c r="F80" s="1">
        <v>2</v>
      </c>
      <c r="G80" s="1">
        <v>5399</v>
      </c>
      <c r="H80" s="1">
        <v>3800</v>
      </c>
      <c r="I80" s="1" t="s">
        <v>410</v>
      </c>
      <c r="J80" s="1" t="s">
        <v>533</v>
      </c>
    </row>
    <row r="81" spans="1:10" x14ac:dyDescent="0.3">
      <c r="A81" s="1" t="s">
        <v>223</v>
      </c>
      <c r="B81" s="1">
        <v>45758</v>
      </c>
      <c r="C81" s="1" t="s">
        <v>46</v>
      </c>
      <c r="D81" s="1" t="s">
        <v>27</v>
      </c>
      <c r="E81" s="1" t="s">
        <v>340</v>
      </c>
      <c r="F81" s="1">
        <v>5</v>
      </c>
      <c r="G81" s="1">
        <v>199</v>
      </c>
      <c r="H81" s="1">
        <v>120</v>
      </c>
      <c r="I81" s="1" t="s">
        <v>41</v>
      </c>
      <c r="J81" s="1" t="s">
        <v>47</v>
      </c>
    </row>
    <row r="82" spans="1:10" x14ac:dyDescent="0.3">
      <c r="A82" s="1" t="s">
        <v>534</v>
      </c>
      <c r="B82" s="2" t="s">
        <v>535</v>
      </c>
      <c r="C82" s="1" t="s">
        <v>471</v>
      </c>
      <c r="D82" s="1" t="s">
        <v>141</v>
      </c>
      <c r="E82" s="1" t="s">
        <v>353</v>
      </c>
      <c r="F82" s="1">
        <v>1</v>
      </c>
      <c r="G82" s="1">
        <v>1799</v>
      </c>
      <c r="H82" s="2" t="s">
        <v>536</v>
      </c>
      <c r="I82" s="1" t="s">
        <v>334</v>
      </c>
      <c r="J82" s="1" t="s">
        <v>15</v>
      </c>
    </row>
    <row r="83" spans="1:10" x14ac:dyDescent="0.3">
      <c r="A83" s="1" t="s">
        <v>537</v>
      </c>
      <c r="B83" s="2" t="s">
        <v>538</v>
      </c>
      <c r="C83" s="1" t="s">
        <v>539</v>
      </c>
      <c r="D83" s="1" t="s">
        <v>540</v>
      </c>
      <c r="E83" s="1" t="s">
        <v>347</v>
      </c>
      <c r="F83" s="1">
        <v>5</v>
      </c>
      <c r="G83" s="1">
        <v>999</v>
      </c>
      <c r="H83" s="1"/>
      <c r="I83" s="1" t="s">
        <v>416</v>
      </c>
      <c r="J83" s="1" t="s">
        <v>387</v>
      </c>
    </row>
    <row r="84" spans="1:10" x14ac:dyDescent="0.3">
      <c r="A84" s="1" t="s">
        <v>211</v>
      </c>
      <c r="B84" s="1">
        <v>45761</v>
      </c>
      <c r="C84" s="1" t="s">
        <v>49</v>
      </c>
      <c r="D84" s="1" t="s">
        <v>22</v>
      </c>
      <c r="E84" s="1"/>
      <c r="F84" s="1">
        <v>4</v>
      </c>
      <c r="G84" s="1">
        <v>2399</v>
      </c>
      <c r="H84" s="1">
        <v>1400</v>
      </c>
      <c r="I84" s="1" t="s">
        <v>24</v>
      </c>
      <c r="J84" s="1" t="s">
        <v>26</v>
      </c>
    </row>
    <row r="85" spans="1:10" x14ac:dyDescent="0.3">
      <c r="A85" s="1" t="s">
        <v>132</v>
      </c>
      <c r="B85" s="1">
        <v>45762</v>
      </c>
      <c r="C85" s="1" t="s">
        <v>91</v>
      </c>
      <c r="D85" s="1" t="s">
        <v>38</v>
      </c>
      <c r="E85" s="1" t="s">
        <v>40</v>
      </c>
      <c r="F85" s="1">
        <v>5</v>
      </c>
      <c r="G85" s="2" t="s">
        <v>541</v>
      </c>
      <c r="H85" s="1">
        <v>500</v>
      </c>
      <c r="I85" s="1" t="s">
        <v>19</v>
      </c>
      <c r="J85" s="1" t="s">
        <v>34</v>
      </c>
    </row>
    <row r="86" spans="1:10" x14ac:dyDescent="0.3">
      <c r="A86" s="1">
        <v>90598</v>
      </c>
      <c r="B86" s="2" t="s">
        <v>542</v>
      </c>
      <c r="C86" s="1" t="s">
        <v>338</v>
      </c>
      <c r="D86" s="1" t="s">
        <v>339</v>
      </c>
      <c r="E86" s="1" t="s">
        <v>340</v>
      </c>
      <c r="F86" s="1">
        <v>4</v>
      </c>
      <c r="G86" s="1"/>
      <c r="H86" s="1">
        <v>7000</v>
      </c>
      <c r="I86" s="1" t="s">
        <v>334</v>
      </c>
      <c r="J86" s="1" t="s">
        <v>370</v>
      </c>
    </row>
    <row r="87" spans="1:10" x14ac:dyDescent="0.3">
      <c r="A87" s="1" t="s">
        <v>543</v>
      </c>
      <c r="B87" s="2" t="s">
        <v>544</v>
      </c>
      <c r="C87" s="1" t="s">
        <v>373</v>
      </c>
      <c r="D87" s="1" t="s">
        <v>301</v>
      </c>
      <c r="E87" s="1" t="s">
        <v>353</v>
      </c>
      <c r="F87" s="2" t="s">
        <v>545</v>
      </c>
      <c r="G87" s="1">
        <v>349</v>
      </c>
      <c r="H87" s="1">
        <v>90</v>
      </c>
      <c r="I87" s="1" t="s">
        <v>334</v>
      </c>
      <c r="J87" s="1" t="s">
        <v>405</v>
      </c>
    </row>
    <row r="88" spans="1:10" x14ac:dyDescent="0.3">
      <c r="A88" s="1" t="s">
        <v>183</v>
      </c>
      <c r="B88" s="1">
        <v>45766</v>
      </c>
      <c r="C88" s="1" t="s">
        <v>44</v>
      </c>
      <c r="D88" s="1" t="s">
        <v>31</v>
      </c>
      <c r="E88" s="1" t="s">
        <v>340</v>
      </c>
      <c r="F88" s="1"/>
      <c r="G88" s="1">
        <v>12799</v>
      </c>
      <c r="H88" s="1">
        <v>10800</v>
      </c>
      <c r="I88" s="1" t="s">
        <v>19</v>
      </c>
      <c r="J88" s="1" t="s">
        <v>370</v>
      </c>
    </row>
    <row r="89" spans="1:10" x14ac:dyDescent="0.3">
      <c r="A89" s="1" t="s">
        <v>148</v>
      </c>
      <c r="B89" s="2" t="s">
        <v>546</v>
      </c>
      <c r="C89" s="1" t="s">
        <v>65</v>
      </c>
      <c r="D89" s="1" t="s">
        <v>12</v>
      </c>
      <c r="E89" s="1" t="s">
        <v>13</v>
      </c>
      <c r="F89" s="1">
        <v>5</v>
      </c>
      <c r="G89" s="1">
        <v>5499</v>
      </c>
      <c r="H89" s="2" t="s">
        <v>547</v>
      </c>
      <c r="I89" s="1" t="s">
        <v>24</v>
      </c>
      <c r="J89" s="1" t="s">
        <v>47</v>
      </c>
    </row>
    <row r="90" spans="1:10" x14ac:dyDescent="0.3">
      <c r="A90" s="1" t="s">
        <v>175</v>
      </c>
      <c r="B90" s="2" t="s">
        <v>548</v>
      </c>
      <c r="C90" s="1" t="s">
        <v>549</v>
      </c>
      <c r="D90" s="1" t="s">
        <v>457</v>
      </c>
      <c r="E90" s="1" t="s">
        <v>550</v>
      </c>
      <c r="F90" s="1">
        <v>8</v>
      </c>
      <c r="G90" s="1">
        <v>3599</v>
      </c>
      <c r="H90" s="1">
        <v>2400</v>
      </c>
      <c r="I90" s="1" t="s">
        <v>551</v>
      </c>
      <c r="J90" s="1" t="s">
        <v>552</v>
      </c>
    </row>
    <row r="91" spans="1:10" x14ac:dyDescent="0.3">
      <c r="A91" s="1" t="s">
        <v>72</v>
      </c>
      <c r="B91" s="1">
        <v>45771</v>
      </c>
      <c r="C91" s="1" t="s">
        <v>16</v>
      </c>
      <c r="D91" s="1" t="s">
        <v>17</v>
      </c>
      <c r="E91" s="1" t="s">
        <v>28</v>
      </c>
      <c r="F91" s="1">
        <v>9</v>
      </c>
      <c r="G91" s="1">
        <v>3699</v>
      </c>
      <c r="H91" s="1">
        <v>2500</v>
      </c>
      <c r="I91" s="1" t="s">
        <v>14</v>
      </c>
      <c r="J91" s="1" t="s">
        <v>370</v>
      </c>
    </row>
    <row r="92" spans="1:10" x14ac:dyDescent="0.3">
      <c r="A92" s="1" t="s">
        <v>553</v>
      </c>
      <c r="B92" s="2" t="s">
        <v>554</v>
      </c>
      <c r="C92" s="1" t="s">
        <v>555</v>
      </c>
      <c r="D92" s="1" t="s">
        <v>556</v>
      </c>
      <c r="E92" s="1" t="s">
        <v>347</v>
      </c>
      <c r="F92" s="1">
        <v>2</v>
      </c>
      <c r="G92" s="2" t="s">
        <v>557</v>
      </c>
      <c r="H92" s="2" t="s">
        <v>558</v>
      </c>
      <c r="I92" s="1" t="s">
        <v>500</v>
      </c>
      <c r="J92" s="1" t="s">
        <v>559</v>
      </c>
    </row>
    <row r="93" spans="1:10" x14ac:dyDescent="0.3">
      <c r="A93" s="1" t="s">
        <v>560</v>
      </c>
      <c r="B93" s="1">
        <v>45772</v>
      </c>
      <c r="C93" s="1" t="s">
        <v>561</v>
      </c>
      <c r="D93" s="1" t="s">
        <v>562</v>
      </c>
      <c r="E93" s="1" t="s">
        <v>563</v>
      </c>
      <c r="F93" s="1">
        <v>10</v>
      </c>
      <c r="G93" s="1">
        <v>5399</v>
      </c>
      <c r="H93" s="1">
        <v>3800</v>
      </c>
      <c r="I93" s="1" t="s">
        <v>564</v>
      </c>
      <c r="J93" s="1" t="s">
        <v>565</v>
      </c>
    </row>
    <row r="94" spans="1:10" x14ac:dyDescent="0.3">
      <c r="A94" s="1" t="s">
        <v>260</v>
      </c>
      <c r="B94" s="2" t="s">
        <v>566</v>
      </c>
      <c r="C94" s="1" t="s">
        <v>57</v>
      </c>
      <c r="D94" s="1" t="s">
        <v>17</v>
      </c>
      <c r="E94" s="1" t="s">
        <v>28</v>
      </c>
      <c r="F94" s="1">
        <v>5</v>
      </c>
      <c r="G94" s="1">
        <v>9099</v>
      </c>
      <c r="H94" s="1">
        <v>7000</v>
      </c>
      <c r="I94" s="1" t="s">
        <v>19</v>
      </c>
      <c r="J94" s="1" t="s">
        <v>26</v>
      </c>
    </row>
    <row r="95" spans="1:10" x14ac:dyDescent="0.3">
      <c r="A95" s="1" t="s">
        <v>153</v>
      </c>
      <c r="B95" s="2" t="s">
        <v>567</v>
      </c>
      <c r="C95" s="1" t="s">
        <v>44</v>
      </c>
      <c r="D95" s="1" t="s">
        <v>31</v>
      </c>
      <c r="E95" s="1" t="s">
        <v>340</v>
      </c>
      <c r="F95" s="1">
        <v>7</v>
      </c>
      <c r="G95" s="2" t="s">
        <v>568</v>
      </c>
      <c r="H95" s="1">
        <v>10800</v>
      </c>
      <c r="I95" s="1" t="s">
        <v>14</v>
      </c>
      <c r="J95" s="1" t="s">
        <v>47</v>
      </c>
    </row>
    <row r="96" spans="1:10" x14ac:dyDescent="0.3">
      <c r="A96" s="1" t="s">
        <v>178</v>
      </c>
      <c r="B96" s="1">
        <v>45776</v>
      </c>
      <c r="C96" s="1" t="s">
        <v>21</v>
      </c>
      <c r="D96" s="1" t="s">
        <v>22</v>
      </c>
      <c r="E96" s="1" t="s">
        <v>40</v>
      </c>
      <c r="F96" s="1">
        <v>5</v>
      </c>
      <c r="G96" s="1">
        <v>599</v>
      </c>
      <c r="H96" s="1">
        <v>350</v>
      </c>
      <c r="I96" s="1"/>
      <c r="J96" s="1" t="s">
        <v>47</v>
      </c>
    </row>
    <row r="97" spans="1:10" x14ac:dyDescent="0.3">
      <c r="A97" s="1" t="s">
        <v>569</v>
      </c>
      <c r="B97" s="2" t="s">
        <v>570</v>
      </c>
      <c r="C97" s="1" t="s">
        <v>571</v>
      </c>
      <c r="D97" s="1" t="s">
        <v>454</v>
      </c>
      <c r="E97" s="1" t="s">
        <v>368</v>
      </c>
      <c r="F97" s="1">
        <v>6</v>
      </c>
      <c r="G97" s="1">
        <v>2299</v>
      </c>
      <c r="H97" s="1">
        <v>1400</v>
      </c>
      <c r="I97" s="1" t="s">
        <v>341</v>
      </c>
      <c r="J97" s="1" t="s">
        <v>15</v>
      </c>
    </row>
    <row r="98" spans="1:10" x14ac:dyDescent="0.3">
      <c r="A98" s="1">
        <v>78735</v>
      </c>
      <c r="B98" s="2" t="s">
        <v>572</v>
      </c>
      <c r="C98" s="1" t="s">
        <v>54</v>
      </c>
      <c r="D98" s="1" t="s">
        <v>27</v>
      </c>
      <c r="E98" s="1" t="s">
        <v>18</v>
      </c>
      <c r="F98" s="1">
        <v>4</v>
      </c>
      <c r="G98" s="1">
        <v>599</v>
      </c>
      <c r="H98" s="1">
        <v>180</v>
      </c>
      <c r="I98" s="1" t="s">
        <v>33</v>
      </c>
      <c r="J98" s="1" t="s">
        <v>34</v>
      </c>
    </row>
    <row r="99" spans="1:10" x14ac:dyDescent="0.3">
      <c r="A99" s="1" t="s">
        <v>64</v>
      </c>
      <c r="B99" s="1">
        <v>45779</v>
      </c>
      <c r="C99" s="1" t="s">
        <v>65</v>
      </c>
      <c r="D99" s="1" t="s">
        <v>12</v>
      </c>
      <c r="E99" s="1" t="s">
        <v>13</v>
      </c>
      <c r="F99" s="1">
        <v>7</v>
      </c>
      <c r="G99" s="1">
        <v>5499</v>
      </c>
      <c r="H99" s="2" t="s">
        <v>573</v>
      </c>
      <c r="I99" s="1" t="s">
        <v>19</v>
      </c>
      <c r="J99" s="1" t="s">
        <v>47</v>
      </c>
    </row>
    <row r="100" spans="1:10" x14ac:dyDescent="0.3">
      <c r="A100" s="1" t="s">
        <v>574</v>
      </c>
      <c r="B100" s="1">
        <v>45780</v>
      </c>
      <c r="C100" s="1" t="s">
        <v>575</v>
      </c>
      <c r="D100" s="1" t="s">
        <v>141</v>
      </c>
      <c r="E100" s="1" t="s">
        <v>436</v>
      </c>
      <c r="F100" s="1">
        <v>4</v>
      </c>
      <c r="G100" s="1">
        <v>3699</v>
      </c>
      <c r="H100" s="1">
        <v>2400</v>
      </c>
      <c r="I100" s="1" t="s">
        <v>420</v>
      </c>
      <c r="J100" s="1" t="s">
        <v>15</v>
      </c>
    </row>
    <row r="101" spans="1:10" x14ac:dyDescent="0.3">
      <c r="A101" s="1" t="s">
        <v>576</v>
      </c>
      <c r="B101" s="2" t="s">
        <v>577</v>
      </c>
      <c r="C101" s="1" t="s">
        <v>578</v>
      </c>
      <c r="D101" s="1" t="s">
        <v>579</v>
      </c>
      <c r="E101" s="1" t="s">
        <v>580</v>
      </c>
      <c r="F101" s="1">
        <v>8</v>
      </c>
      <c r="G101" s="1">
        <v>2499</v>
      </c>
      <c r="H101" s="1">
        <v>1400</v>
      </c>
      <c r="I101" s="1" t="s">
        <v>581</v>
      </c>
      <c r="J101" s="1" t="s">
        <v>582</v>
      </c>
    </row>
    <row r="102" spans="1:10" x14ac:dyDescent="0.3">
      <c r="A102" s="1" t="s">
        <v>583</v>
      </c>
      <c r="B102" s="2" t="s">
        <v>584</v>
      </c>
      <c r="C102" s="1" t="s">
        <v>449</v>
      </c>
      <c r="D102" s="1" t="s">
        <v>146</v>
      </c>
      <c r="E102" s="1" t="s">
        <v>333</v>
      </c>
      <c r="F102" s="1">
        <v>10</v>
      </c>
      <c r="G102" s="2" t="s">
        <v>585</v>
      </c>
      <c r="H102" s="1">
        <v>120</v>
      </c>
      <c r="I102" s="1" t="s">
        <v>396</v>
      </c>
      <c r="J102" s="1" t="s">
        <v>376</v>
      </c>
    </row>
    <row r="103" spans="1:10" x14ac:dyDescent="0.3">
      <c r="A103" s="1" t="s">
        <v>184</v>
      </c>
      <c r="B103" s="1">
        <v>45782</v>
      </c>
      <c r="C103" s="1" t="s">
        <v>57</v>
      </c>
      <c r="D103" s="1" t="s">
        <v>17</v>
      </c>
      <c r="E103" s="1" t="s">
        <v>40</v>
      </c>
      <c r="F103" s="1">
        <v>1</v>
      </c>
      <c r="G103" s="1">
        <v>8999</v>
      </c>
      <c r="H103" s="1">
        <v>7000</v>
      </c>
      <c r="I103" s="1" t="s">
        <v>24</v>
      </c>
      <c r="J103" s="1" t="s">
        <v>34</v>
      </c>
    </row>
    <row r="104" spans="1:10" x14ac:dyDescent="0.3">
      <c r="A104" s="1" t="s">
        <v>238</v>
      </c>
      <c r="B104" s="2" t="s">
        <v>586</v>
      </c>
      <c r="C104" s="1" t="s">
        <v>57</v>
      </c>
      <c r="D104" s="1" t="s">
        <v>17</v>
      </c>
      <c r="E104" s="1" t="s">
        <v>40</v>
      </c>
      <c r="F104" s="2" t="s">
        <v>545</v>
      </c>
      <c r="G104" s="1">
        <v>8999</v>
      </c>
      <c r="H104" s="1">
        <v>7000</v>
      </c>
      <c r="I104" s="1" t="s">
        <v>41</v>
      </c>
      <c r="J104" s="1" t="s">
        <v>15</v>
      </c>
    </row>
    <row r="105" spans="1:10" x14ac:dyDescent="0.3">
      <c r="A105" s="1" t="s">
        <v>238</v>
      </c>
      <c r="B105" s="2" t="s">
        <v>586</v>
      </c>
      <c r="C105" s="1" t="s">
        <v>57</v>
      </c>
      <c r="D105" s="1" t="s">
        <v>17</v>
      </c>
      <c r="E105" s="1" t="s">
        <v>40</v>
      </c>
      <c r="F105" s="2" t="s">
        <v>545</v>
      </c>
      <c r="G105" s="1">
        <v>8999</v>
      </c>
      <c r="H105" s="1">
        <v>7000</v>
      </c>
      <c r="I105" s="1" t="s">
        <v>41</v>
      </c>
      <c r="J105" s="1" t="s">
        <v>15</v>
      </c>
    </row>
    <row r="106" spans="1:10" x14ac:dyDescent="0.3">
      <c r="A106" s="1" t="s">
        <v>39</v>
      </c>
      <c r="B106" s="1">
        <v>45783</v>
      </c>
      <c r="C106" s="1" t="s">
        <v>30</v>
      </c>
      <c r="D106" s="1" t="s">
        <v>31</v>
      </c>
      <c r="E106" s="1" t="s">
        <v>40</v>
      </c>
      <c r="F106" s="1">
        <v>9</v>
      </c>
      <c r="G106" s="1">
        <v>15799</v>
      </c>
      <c r="H106" s="1">
        <v>13500</v>
      </c>
      <c r="I106" s="1" t="s">
        <v>41</v>
      </c>
      <c r="J106" s="1" t="s">
        <v>34</v>
      </c>
    </row>
    <row r="107" spans="1:10" x14ac:dyDescent="0.3">
      <c r="A107" s="1" t="s">
        <v>587</v>
      </c>
      <c r="B107" s="2" t="s">
        <v>588</v>
      </c>
      <c r="C107" s="1" t="s">
        <v>589</v>
      </c>
      <c r="D107" s="1" t="s">
        <v>408</v>
      </c>
      <c r="E107" s="1" t="s">
        <v>590</v>
      </c>
      <c r="F107" s="1">
        <v>5</v>
      </c>
      <c r="G107" s="1">
        <v>8799</v>
      </c>
      <c r="H107" s="1">
        <v>7000</v>
      </c>
      <c r="I107" s="1" t="s">
        <v>410</v>
      </c>
      <c r="J107" s="1" t="s">
        <v>533</v>
      </c>
    </row>
    <row r="108" spans="1:10" x14ac:dyDescent="0.3">
      <c r="A108" s="1" t="s">
        <v>591</v>
      </c>
      <c r="B108" s="2" t="s">
        <v>592</v>
      </c>
      <c r="C108" s="1" t="s">
        <v>575</v>
      </c>
      <c r="D108" s="1" t="s">
        <v>141</v>
      </c>
      <c r="E108" s="1" t="s">
        <v>353</v>
      </c>
      <c r="F108" s="1">
        <v>7</v>
      </c>
      <c r="G108" s="1">
        <v>3599</v>
      </c>
      <c r="H108" s="1">
        <v>2400</v>
      </c>
      <c r="I108" s="1" t="s">
        <v>593</v>
      </c>
      <c r="J108" s="1" t="s">
        <v>15</v>
      </c>
    </row>
    <row r="109" spans="1:10" x14ac:dyDescent="0.3">
      <c r="A109" s="1" t="s">
        <v>202</v>
      </c>
      <c r="B109" s="1">
        <v>45786</v>
      </c>
      <c r="C109" s="1" t="s">
        <v>60</v>
      </c>
      <c r="D109" s="1" t="s">
        <v>31</v>
      </c>
      <c r="E109" s="1" t="s">
        <v>28</v>
      </c>
      <c r="F109" s="1">
        <v>4</v>
      </c>
      <c r="G109" s="1">
        <v>3599</v>
      </c>
      <c r="H109" s="1">
        <v>2400</v>
      </c>
      <c r="I109" s="1" t="s">
        <v>19</v>
      </c>
      <c r="J109" s="1"/>
    </row>
    <row r="110" spans="1:10" x14ac:dyDescent="0.3">
      <c r="A110" s="1" t="s">
        <v>118</v>
      </c>
      <c r="B110" s="1">
        <v>45787</v>
      </c>
      <c r="C110" s="1" t="s">
        <v>65</v>
      </c>
      <c r="D110" s="1" t="s">
        <v>12</v>
      </c>
      <c r="E110" s="1" t="s">
        <v>32</v>
      </c>
      <c r="F110" s="1">
        <v>7</v>
      </c>
      <c r="G110" s="1">
        <v>5399</v>
      </c>
      <c r="H110" s="1">
        <v>3800</v>
      </c>
      <c r="I110" s="1" t="s">
        <v>19</v>
      </c>
      <c r="J110" s="1" t="s">
        <v>55</v>
      </c>
    </row>
    <row r="111" spans="1:10" x14ac:dyDescent="0.3">
      <c r="A111" s="1">
        <v>73183</v>
      </c>
      <c r="B111" s="2" t="s">
        <v>594</v>
      </c>
      <c r="C111" s="1" t="s">
        <v>595</v>
      </c>
      <c r="D111" s="1" t="s">
        <v>596</v>
      </c>
      <c r="E111" s="1" t="s">
        <v>597</v>
      </c>
      <c r="F111" s="1">
        <v>9</v>
      </c>
      <c r="G111" s="1">
        <v>5499</v>
      </c>
      <c r="H111" s="1">
        <v>3800</v>
      </c>
      <c r="I111" s="1" t="s">
        <v>598</v>
      </c>
      <c r="J111" s="1" t="s">
        <v>349</v>
      </c>
    </row>
    <row r="112" spans="1:10" x14ac:dyDescent="0.3">
      <c r="A112" s="1" t="s">
        <v>139</v>
      </c>
      <c r="B112" s="1">
        <v>45790</v>
      </c>
      <c r="C112" s="1" t="s">
        <v>16</v>
      </c>
      <c r="D112" s="1" t="s">
        <v>17</v>
      </c>
      <c r="E112" s="1" t="s">
        <v>18</v>
      </c>
      <c r="F112" s="1">
        <v>3</v>
      </c>
      <c r="G112" s="1">
        <v>3499</v>
      </c>
      <c r="H112" s="2" t="s">
        <v>599</v>
      </c>
      <c r="I112" s="1" t="s">
        <v>19</v>
      </c>
      <c r="J112" s="1" t="s">
        <v>47</v>
      </c>
    </row>
    <row r="113" spans="1:10" x14ac:dyDescent="0.3">
      <c r="A113" s="1" t="s">
        <v>312</v>
      </c>
      <c r="B113" s="2" t="s">
        <v>600</v>
      </c>
      <c r="C113" s="1" t="s">
        <v>397</v>
      </c>
      <c r="D113" s="1" t="s">
        <v>398</v>
      </c>
      <c r="E113" s="1" t="s">
        <v>550</v>
      </c>
      <c r="F113" s="1">
        <v>4</v>
      </c>
      <c r="G113" s="1">
        <v>799</v>
      </c>
      <c r="H113" s="2" t="s">
        <v>422</v>
      </c>
      <c r="I113" s="1" t="s">
        <v>356</v>
      </c>
      <c r="J113" s="1" t="s">
        <v>487</v>
      </c>
    </row>
    <row r="114" spans="1:10" x14ac:dyDescent="0.3">
      <c r="A114" s="1"/>
      <c r="B114" s="2" t="s">
        <v>601</v>
      </c>
      <c r="C114" s="1" t="s">
        <v>11</v>
      </c>
      <c r="D114" s="1" t="s">
        <v>12</v>
      </c>
      <c r="E114" s="1" t="s">
        <v>340</v>
      </c>
      <c r="F114" s="1">
        <v>8</v>
      </c>
      <c r="G114" s="1">
        <v>7199</v>
      </c>
      <c r="H114" s="1">
        <v>5000</v>
      </c>
      <c r="I114" s="1" t="s">
        <v>14</v>
      </c>
      <c r="J114" s="1" t="s">
        <v>370</v>
      </c>
    </row>
    <row r="115" spans="1:10" x14ac:dyDescent="0.3">
      <c r="A115" s="1" t="s">
        <v>602</v>
      </c>
      <c r="B115" s="2" t="s">
        <v>603</v>
      </c>
      <c r="C115" s="1" t="s">
        <v>453</v>
      </c>
      <c r="D115" s="1" t="s">
        <v>454</v>
      </c>
      <c r="E115" s="1" t="s">
        <v>353</v>
      </c>
      <c r="F115" s="1">
        <v>1</v>
      </c>
      <c r="G115" s="2" t="s">
        <v>604</v>
      </c>
      <c r="H115" s="1">
        <v>1400</v>
      </c>
      <c r="I115" s="1" t="s">
        <v>593</v>
      </c>
      <c r="J115" s="1" t="s">
        <v>605</v>
      </c>
    </row>
    <row r="116" spans="1:10" x14ac:dyDescent="0.3">
      <c r="A116" s="1" t="s">
        <v>220</v>
      </c>
      <c r="B116" s="1">
        <v>45795</v>
      </c>
      <c r="C116" s="1" t="s">
        <v>21</v>
      </c>
      <c r="D116" s="1" t="s">
        <v>22</v>
      </c>
      <c r="E116" s="1" t="s">
        <v>40</v>
      </c>
      <c r="F116" s="1">
        <v>4</v>
      </c>
      <c r="G116" s="2" t="s">
        <v>606</v>
      </c>
      <c r="H116" s="1">
        <v>350</v>
      </c>
      <c r="I116" s="1" t="s">
        <v>19</v>
      </c>
      <c r="J116" s="1" t="s">
        <v>34</v>
      </c>
    </row>
    <row r="117" spans="1:10" x14ac:dyDescent="0.3">
      <c r="A117" s="1" t="s">
        <v>222</v>
      </c>
      <c r="B117" s="2" t="s">
        <v>607</v>
      </c>
      <c r="C117" s="1" t="s">
        <v>74</v>
      </c>
      <c r="D117" s="1" t="s">
        <v>31</v>
      </c>
      <c r="E117" s="1" t="s">
        <v>340</v>
      </c>
      <c r="F117" s="1">
        <v>6</v>
      </c>
      <c r="G117" s="1">
        <v>1799</v>
      </c>
      <c r="H117" s="2" t="s">
        <v>536</v>
      </c>
      <c r="I117" s="1" t="s">
        <v>24</v>
      </c>
      <c r="J117" s="1" t="s">
        <v>34</v>
      </c>
    </row>
    <row r="118" spans="1:10" x14ac:dyDescent="0.3">
      <c r="A118" s="1" t="s">
        <v>608</v>
      </c>
      <c r="B118" s="2" t="s">
        <v>609</v>
      </c>
      <c r="C118" s="1" t="s">
        <v>610</v>
      </c>
      <c r="D118" s="1" t="s">
        <v>394</v>
      </c>
      <c r="E118" s="1" t="s">
        <v>353</v>
      </c>
      <c r="F118" s="1">
        <v>6</v>
      </c>
      <c r="G118" s="1">
        <v>5299</v>
      </c>
      <c r="H118" s="1">
        <v>3800</v>
      </c>
      <c r="I118" s="1" t="s">
        <v>593</v>
      </c>
      <c r="J118" s="1" t="s">
        <v>491</v>
      </c>
    </row>
    <row r="119" spans="1:10" x14ac:dyDescent="0.3">
      <c r="A119" s="1" t="s">
        <v>71</v>
      </c>
      <c r="B119" s="2" t="s">
        <v>611</v>
      </c>
      <c r="C119" s="1" t="s">
        <v>49</v>
      </c>
      <c r="D119" s="1" t="s">
        <v>22</v>
      </c>
      <c r="E119" s="1" t="s">
        <v>28</v>
      </c>
      <c r="F119" s="1">
        <v>6</v>
      </c>
      <c r="G119" s="1">
        <v>2599</v>
      </c>
      <c r="H119" s="1">
        <v>1400</v>
      </c>
      <c r="I119" s="1" t="s">
        <v>41</v>
      </c>
      <c r="J119" s="1" t="s">
        <v>47</v>
      </c>
    </row>
    <row r="120" spans="1:10" x14ac:dyDescent="0.3">
      <c r="A120" s="1" t="s">
        <v>612</v>
      </c>
      <c r="B120" s="2" t="s">
        <v>613</v>
      </c>
      <c r="C120" s="1" t="s">
        <v>614</v>
      </c>
      <c r="D120" s="1" t="s">
        <v>615</v>
      </c>
      <c r="E120" s="1" t="s">
        <v>616</v>
      </c>
      <c r="F120" s="1">
        <v>4</v>
      </c>
      <c r="G120" s="2" t="s">
        <v>617</v>
      </c>
      <c r="H120" s="1">
        <v>500</v>
      </c>
      <c r="I120" s="1" t="s">
        <v>618</v>
      </c>
      <c r="J120" s="1" t="s">
        <v>619</v>
      </c>
    </row>
    <row r="121" spans="1:10" x14ac:dyDescent="0.3">
      <c r="A121" s="1" t="s">
        <v>189</v>
      </c>
      <c r="B121" s="1">
        <v>45798</v>
      </c>
      <c r="C121" s="1" t="s">
        <v>91</v>
      </c>
      <c r="D121" s="1" t="s">
        <v>38</v>
      </c>
      <c r="E121" s="1" t="s">
        <v>340</v>
      </c>
      <c r="F121" s="1">
        <v>1</v>
      </c>
      <c r="G121" s="1">
        <v>1099</v>
      </c>
      <c r="H121" s="1">
        <v>500</v>
      </c>
      <c r="I121" s="1" t="s">
        <v>19</v>
      </c>
      <c r="J121" s="1" t="s">
        <v>55</v>
      </c>
    </row>
    <row r="122" spans="1:10" x14ac:dyDescent="0.3">
      <c r="A122" s="1" t="s">
        <v>620</v>
      </c>
      <c r="B122" s="1">
        <v>45800</v>
      </c>
      <c r="C122" s="1" t="s">
        <v>338</v>
      </c>
      <c r="D122" s="1" t="s">
        <v>339</v>
      </c>
      <c r="E122" s="1" t="s">
        <v>436</v>
      </c>
      <c r="F122" s="2" t="s">
        <v>432</v>
      </c>
      <c r="G122" s="1">
        <v>9199</v>
      </c>
      <c r="H122" s="1">
        <v>7000</v>
      </c>
      <c r="I122" s="1" t="s">
        <v>341</v>
      </c>
      <c r="J122" s="1" t="s">
        <v>605</v>
      </c>
    </row>
    <row r="123" spans="1:10" x14ac:dyDescent="0.3">
      <c r="A123" s="1">
        <v>34568</v>
      </c>
      <c r="B123" s="2" t="s">
        <v>621</v>
      </c>
      <c r="C123" s="1" t="s">
        <v>471</v>
      </c>
      <c r="D123" s="1" t="s">
        <v>141</v>
      </c>
      <c r="E123" s="1" t="s">
        <v>368</v>
      </c>
      <c r="F123" s="1">
        <v>6</v>
      </c>
      <c r="G123" s="1">
        <v>1999</v>
      </c>
      <c r="H123" s="1">
        <v>1200</v>
      </c>
      <c r="I123" s="1" t="s">
        <v>396</v>
      </c>
      <c r="J123" s="1" t="s">
        <v>335</v>
      </c>
    </row>
    <row r="124" spans="1:10" x14ac:dyDescent="0.3">
      <c r="A124" s="1" t="s">
        <v>90</v>
      </c>
      <c r="B124" s="1">
        <v>45801</v>
      </c>
      <c r="C124" s="1" t="s">
        <v>622</v>
      </c>
      <c r="D124" s="1" t="s">
        <v>485</v>
      </c>
      <c r="E124" s="1" t="s">
        <v>623</v>
      </c>
      <c r="F124" s="1">
        <v>1</v>
      </c>
      <c r="G124" s="1">
        <v>699</v>
      </c>
      <c r="H124" s="1">
        <v>500</v>
      </c>
      <c r="I124" s="1" t="s">
        <v>551</v>
      </c>
      <c r="J124" s="1" t="s">
        <v>34</v>
      </c>
    </row>
    <row r="125" spans="1:10" x14ac:dyDescent="0.3">
      <c r="A125" s="1" t="s">
        <v>151</v>
      </c>
      <c r="B125" s="1">
        <v>45801</v>
      </c>
      <c r="C125" s="1" t="s">
        <v>30</v>
      </c>
      <c r="D125" s="1" t="s">
        <v>31</v>
      </c>
      <c r="E125" s="1" t="s">
        <v>18</v>
      </c>
      <c r="F125" s="1">
        <v>1</v>
      </c>
      <c r="G125" s="1">
        <v>15899</v>
      </c>
      <c r="H125" s="1">
        <v>13500</v>
      </c>
      <c r="I125" s="1" t="s">
        <v>19</v>
      </c>
      <c r="J125" s="1" t="s">
        <v>370</v>
      </c>
    </row>
    <row r="126" spans="1:10" x14ac:dyDescent="0.3">
      <c r="A126" s="1" t="s">
        <v>96</v>
      </c>
      <c r="B126" s="2" t="s">
        <v>624</v>
      </c>
      <c r="C126" s="1" t="s">
        <v>57</v>
      </c>
      <c r="D126" s="1" t="s">
        <v>17</v>
      </c>
      <c r="E126" s="1"/>
      <c r="F126" s="1">
        <v>8</v>
      </c>
      <c r="G126" s="1">
        <v>8899</v>
      </c>
      <c r="H126" s="1">
        <v>7000</v>
      </c>
      <c r="I126" s="1" t="s">
        <v>14</v>
      </c>
      <c r="J126" s="1" t="s">
        <v>26</v>
      </c>
    </row>
    <row r="127" spans="1:10" x14ac:dyDescent="0.3">
      <c r="A127" s="1" t="s">
        <v>187</v>
      </c>
      <c r="B127" s="2" t="s">
        <v>625</v>
      </c>
      <c r="C127" s="1" t="s">
        <v>494</v>
      </c>
      <c r="D127" s="1" t="s">
        <v>22</v>
      </c>
      <c r="E127" s="1" t="s">
        <v>23</v>
      </c>
      <c r="F127" s="1">
        <v>4</v>
      </c>
      <c r="G127" s="1">
        <v>599</v>
      </c>
      <c r="H127" s="1"/>
      <c r="I127" s="1" t="s">
        <v>24</v>
      </c>
      <c r="J127" s="1" t="s">
        <v>15</v>
      </c>
    </row>
    <row r="128" spans="1:10" x14ac:dyDescent="0.3">
      <c r="A128" s="1" t="s">
        <v>626</v>
      </c>
      <c r="B128" s="2" t="s">
        <v>627</v>
      </c>
      <c r="C128" s="1" t="s">
        <v>352</v>
      </c>
      <c r="D128" s="1" t="s">
        <v>141</v>
      </c>
      <c r="E128" s="1" t="s">
        <v>333</v>
      </c>
      <c r="F128" s="1">
        <v>8</v>
      </c>
      <c r="G128" s="1">
        <v>13099</v>
      </c>
      <c r="H128" s="1">
        <v>10800</v>
      </c>
      <c r="I128" s="1" t="s">
        <v>334</v>
      </c>
      <c r="J128" s="1" t="s">
        <v>491</v>
      </c>
    </row>
    <row r="129" spans="1:10" x14ac:dyDescent="0.3">
      <c r="A129" s="1" t="s">
        <v>628</v>
      </c>
      <c r="B129" s="2" t="s">
        <v>629</v>
      </c>
      <c r="C129" s="1" t="s">
        <v>630</v>
      </c>
      <c r="D129" s="1" t="s">
        <v>631</v>
      </c>
      <c r="E129" s="1" t="s">
        <v>632</v>
      </c>
      <c r="F129" s="1">
        <v>4</v>
      </c>
      <c r="G129" s="1">
        <v>1999</v>
      </c>
      <c r="H129" s="1">
        <v>1200</v>
      </c>
      <c r="I129" s="1" t="s">
        <v>633</v>
      </c>
      <c r="J129" s="1" t="s">
        <v>465</v>
      </c>
    </row>
    <row r="130" spans="1:10" x14ac:dyDescent="0.3">
      <c r="A130" s="1" t="s">
        <v>204</v>
      </c>
      <c r="B130" s="1">
        <v>45806</v>
      </c>
      <c r="C130" s="1" t="s">
        <v>49</v>
      </c>
      <c r="D130" s="1" t="s">
        <v>22</v>
      </c>
      <c r="E130" s="1" t="s">
        <v>28</v>
      </c>
      <c r="F130" s="1">
        <v>6</v>
      </c>
      <c r="G130" s="1"/>
      <c r="H130" s="1">
        <v>1400</v>
      </c>
      <c r="I130" s="1" t="s">
        <v>41</v>
      </c>
      <c r="J130" s="1" t="s">
        <v>52</v>
      </c>
    </row>
    <row r="131" spans="1:10" x14ac:dyDescent="0.3">
      <c r="A131" s="1" t="s">
        <v>180</v>
      </c>
      <c r="B131" s="2" t="s">
        <v>634</v>
      </c>
      <c r="C131" s="1" t="s">
        <v>21</v>
      </c>
      <c r="D131" s="1" t="s">
        <v>22</v>
      </c>
      <c r="E131" s="1" t="s">
        <v>23</v>
      </c>
      <c r="F131" s="1">
        <v>4</v>
      </c>
      <c r="G131" s="1">
        <v>699</v>
      </c>
      <c r="H131" s="2" t="s">
        <v>635</v>
      </c>
      <c r="I131" s="1" t="s">
        <v>41</v>
      </c>
      <c r="J131" s="1" t="s">
        <v>47</v>
      </c>
    </row>
    <row r="132" spans="1:10" x14ac:dyDescent="0.3">
      <c r="A132" s="1" t="s">
        <v>267</v>
      </c>
      <c r="B132" s="2" t="s">
        <v>636</v>
      </c>
      <c r="C132" s="1" t="s">
        <v>51</v>
      </c>
      <c r="D132" s="1" t="s">
        <v>31</v>
      </c>
      <c r="E132" s="1" t="s">
        <v>40</v>
      </c>
      <c r="F132" s="1"/>
      <c r="G132" s="1">
        <v>2799</v>
      </c>
      <c r="H132" s="1">
        <v>1800</v>
      </c>
      <c r="I132" s="1" t="s">
        <v>24</v>
      </c>
      <c r="J132" s="1" t="s">
        <v>370</v>
      </c>
    </row>
    <row r="133" spans="1:10" x14ac:dyDescent="0.3">
      <c r="A133" s="1" t="s">
        <v>637</v>
      </c>
      <c r="B133" s="2" t="s">
        <v>638</v>
      </c>
      <c r="C133" s="1" t="s">
        <v>506</v>
      </c>
      <c r="D133" s="1" t="s">
        <v>507</v>
      </c>
      <c r="E133" s="1" t="s">
        <v>639</v>
      </c>
      <c r="F133" s="1">
        <v>6</v>
      </c>
      <c r="G133" s="1">
        <v>8799</v>
      </c>
      <c r="H133" s="1">
        <v>7000</v>
      </c>
      <c r="I133" s="1" t="s">
        <v>564</v>
      </c>
      <c r="J133" s="1" t="s">
        <v>565</v>
      </c>
    </row>
    <row r="134" spans="1:10" x14ac:dyDescent="0.3">
      <c r="A134" s="1" t="s">
        <v>170</v>
      </c>
      <c r="B134" s="1">
        <v>45814</v>
      </c>
      <c r="C134" s="1" t="s">
        <v>65</v>
      </c>
      <c r="D134" s="1" t="s">
        <v>12</v>
      </c>
      <c r="E134" s="1" t="s">
        <v>32</v>
      </c>
      <c r="F134" s="1">
        <v>5</v>
      </c>
      <c r="G134" s="2" t="s">
        <v>640</v>
      </c>
      <c r="H134" s="2" t="s">
        <v>573</v>
      </c>
      <c r="I134" s="1" t="s">
        <v>19</v>
      </c>
      <c r="J134" s="1" t="s">
        <v>52</v>
      </c>
    </row>
    <row r="135" spans="1:10" x14ac:dyDescent="0.3">
      <c r="A135" s="1">
        <v>33561</v>
      </c>
      <c r="B135" s="2" t="s">
        <v>641</v>
      </c>
      <c r="C135" s="1" t="s">
        <v>642</v>
      </c>
      <c r="D135" s="1" t="s">
        <v>355</v>
      </c>
      <c r="E135" s="1" t="s">
        <v>430</v>
      </c>
      <c r="F135" s="1">
        <v>1</v>
      </c>
      <c r="G135" s="1">
        <v>399</v>
      </c>
      <c r="H135" s="1">
        <v>120</v>
      </c>
      <c r="I135" s="1" t="s">
        <v>399</v>
      </c>
      <c r="J135" s="1" t="s">
        <v>357</v>
      </c>
    </row>
    <row r="136" spans="1:10" x14ac:dyDescent="0.3">
      <c r="A136" s="1" t="s">
        <v>643</v>
      </c>
      <c r="B136" s="1">
        <v>45815</v>
      </c>
      <c r="C136" s="1" t="s">
        <v>644</v>
      </c>
      <c r="D136" s="1" t="s">
        <v>301</v>
      </c>
      <c r="E136" s="1" t="s">
        <v>353</v>
      </c>
      <c r="F136" s="1">
        <v>5</v>
      </c>
      <c r="G136" s="1">
        <v>249</v>
      </c>
      <c r="H136" s="2" t="s">
        <v>503</v>
      </c>
      <c r="I136" s="1" t="s">
        <v>334</v>
      </c>
      <c r="J136" s="1" t="s">
        <v>15</v>
      </c>
    </row>
    <row r="137" spans="1:10" x14ac:dyDescent="0.3">
      <c r="A137" s="1" t="s">
        <v>265</v>
      </c>
      <c r="B137" s="1">
        <v>45815</v>
      </c>
      <c r="C137" s="1" t="s">
        <v>57</v>
      </c>
      <c r="D137" s="1" t="s">
        <v>17</v>
      </c>
      <c r="E137" s="1" t="s">
        <v>340</v>
      </c>
      <c r="F137" s="1">
        <v>9</v>
      </c>
      <c r="G137" s="2" t="s">
        <v>645</v>
      </c>
      <c r="H137" s="1">
        <v>7000</v>
      </c>
      <c r="I137" s="1" t="s">
        <v>14</v>
      </c>
      <c r="J137" s="1" t="s">
        <v>55</v>
      </c>
    </row>
    <row r="138" spans="1:10" x14ac:dyDescent="0.3">
      <c r="A138" s="1" t="s">
        <v>646</v>
      </c>
      <c r="B138" s="2" t="s">
        <v>647</v>
      </c>
      <c r="C138" s="1" t="s">
        <v>648</v>
      </c>
      <c r="D138" s="1" t="s">
        <v>462</v>
      </c>
      <c r="E138" s="1" t="s">
        <v>347</v>
      </c>
      <c r="F138" s="1">
        <v>5</v>
      </c>
      <c r="G138" s="1">
        <v>3699</v>
      </c>
      <c r="H138" s="1">
        <v>2500</v>
      </c>
      <c r="I138" s="1" t="s">
        <v>500</v>
      </c>
      <c r="J138" s="1" t="s">
        <v>559</v>
      </c>
    </row>
    <row r="139" spans="1:10" x14ac:dyDescent="0.3">
      <c r="A139" s="1" t="s">
        <v>68</v>
      </c>
      <c r="B139" s="2" t="s">
        <v>649</v>
      </c>
      <c r="C139" s="1" t="s">
        <v>30</v>
      </c>
      <c r="D139" s="1" t="s">
        <v>31</v>
      </c>
      <c r="E139" s="1" t="s">
        <v>40</v>
      </c>
      <c r="F139" s="2" t="s">
        <v>650</v>
      </c>
      <c r="G139" s="2" t="s">
        <v>651</v>
      </c>
      <c r="H139" s="1">
        <v>13500</v>
      </c>
      <c r="I139" s="1" t="s">
        <v>41</v>
      </c>
      <c r="J139" s="1" t="s">
        <v>47</v>
      </c>
    </row>
    <row r="140" spans="1:10" x14ac:dyDescent="0.3">
      <c r="A140" s="1" t="s">
        <v>68</v>
      </c>
      <c r="B140" s="2" t="s">
        <v>649</v>
      </c>
      <c r="C140" s="1" t="s">
        <v>30</v>
      </c>
      <c r="D140" s="1" t="s">
        <v>31</v>
      </c>
      <c r="E140" s="1" t="s">
        <v>40</v>
      </c>
      <c r="F140" s="2" t="s">
        <v>650</v>
      </c>
      <c r="G140" s="2" t="s">
        <v>651</v>
      </c>
      <c r="H140" s="1">
        <v>13500</v>
      </c>
      <c r="I140" s="1" t="s">
        <v>41</v>
      </c>
      <c r="J140" s="1" t="s">
        <v>47</v>
      </c>
    </row>
    <row r="141" spans="1:10" x14ac:dyDescent="0.3">
      <c r="A141" s="1" t="s">
        <v>176</v>
      </c>
      <c r="B141" s="1">
        <v>45819</v>
      </c>
      <c r="C141" s="1" t="s">
        <v>37</v>
      </c>
      <c r="D141" s="1" t="s">
        <v>38</v>
      </c>
      <c r="E141" s="1" t="s">
        <v>28</v>
      </c>
      <c r="F141" s="1">
        <v>7</v>
      </c>
      <c r="G141" s="1">
        <v>49</v>
      </c>
      <c r="H141" s="1">
        <v>90</v>
      </c>
      <c r="I141" s="1" t="s">
        <v>14</v>
      </c>
      <c r="J141" s="1" t="s">
        <v>52</v>
      </c>
    </row>
    <row r="142" spans="1:10" x14ac:dyDescent="0.3">
      <c r="A142" s="1" t="s">
        <v>198</v>
      </c>
      <c r="B142" s="2" t="s">
        <v>652</v>
      </c>
      <c r="C142" s="1" t="s">
        <v>46</v>
      </c>
      <c r="D142" s="1" t="s">
        <v>27</v>
      </c>
      <c r="E142" s="1" t="s">
        <v>340</v>
      </c>
      <c r="F142" s="1">
        <v>2</v>
      </c>
      <c r="G142" s="1">
        <v>399</v>
      </c>
      <c r="H142" s="1">
        <v>120</v>
      </c>
      <c r="I142" s="1" t="s">
        <v>19</v>
      </c>
      <c r="J142" s="1" t="s">
        <v>370</v>
      </c>
    </row>
    <row r="143" spans="1:10" x14ac:dyDescent="0.3">
      <c r="A143" s="1" t="s">
        <v>310</v>
      </c>
      <c r="B143" s="1">
        <v>45820</v>
      </c>
      <c r="C143" s="1" t="s">
        <v>44</v>
      </c>
      <c r="D143" s="1" t="s">
        <v>31</v>
      </c>
      <c r="E143" s="1" t="s">
        <v>340</v>
      </c>
      <c r="F143" s="1">
        <v>3</v>
      </c>
      <c r="G143" s="1">
        <v>12999</v>
      </c>
      <c r="H143" s="1">
        <v>10800</v>
      </c>
      <c r="I143" s="1" t="s">
        <v>19</v>
      </c>
      <c r="J143" s="1" t="s">
        <v>370</v>
      </c>
    </row>
    <row r="144" spans="1:10" x14ac:dyDescent="0.3">
      <c r="A144" s="1" t="s">
        <v>653</v>
      </c>
      <c r="B144" s="2" t="s">
        <v>654</v>
      </c>
      <c r="C144" s="1" t="s">
        <v>655</v>
      </c>
      <c r="D144" s="1" t="s">
        <v>454</v>
      </c>
      <c r="E144" s="1" t="s">
        <v>404</v>
      </c>
      <c r="F144" s="1">
        <v>6</v>
      </c>
      <c r="G144" s="1">
        <v>899</v>
      </c>
      <c r="H144" s="1">
        <v>350</v>
      </c>
      <c r="I144" s="1" t="s">
        <v>593</v>
      </c>
      <c r="J144" s="1" t="s">
        <v>15</v>
      </c>
    </row>
    <row r="145" spans="1:10" x14ac:dyDescent="0.3">
      <c r="A145" s="1" t="s">
        <v>70</v>
      </c>
      <c r="B145" s="2" t="s">
        <v>656</v>
      </c>
      <c r="C145" s="1" t="s">
        <v>65</v>
      </c>
      <c r="D145" s="1" t="s">
        <v>12</v>
      </c>
      <c r="E145" s="1" t="s">
        <v>40</v>
      </c>
      <c r="F145" s="1">
        <v>5</v>
      </c>
      <c r="G145" s="1">
        <v>5699</v>
      </c>
      <c r="H145" s="1">
        <v>3800</v>
      </c>
      <c r="I145" s="1"/>
      <c r="J145" s="1" t="s">
        <v>47</v>
      </c>
    </row>
    <row r="146" spans="1:10" x14ac:dyDescent="0.3">
      <c r="A146" s="1" t="s">
        <v>119</v>
      </c>
      <c r="B146" s="1">
        <v>45831</v>
      </c>
      <c r="C146" s="1" t="s">
        <v>91</v>
      </c>
      <c r="D146" s="1" t="s">
        <v>38</v>
      </c>
      <c r="E146" s="1" t="s">
        <v>40</v>
      </c>
      <c r="F146" s="1">
        <v>4</v>
      </c>
      <c r="G146" s="1">
        <v>1099</v>
      </c>
      <c r="H146" s="1">
        <v>500</v>
      </c>
      <c r="I146" s="1" t="s">
        <v>19</v>
      </c>
      <c r="J146" s="1" t="s">
        <v>34</v>
      </c>
    </row>
    <row r="147" spans="1:10" x14ac:dyDescent="0.3">
      <c r="A147" s="1" t="s">
        <v>657</v>
      </c>
      <c r="B147" s="1">
        <v>45831</v>
      </c>
      <c r="C147" s="1" t="s">
        <v>658</v>
      </c>
      <c r="D147" s="1" t="s">
        <v>659</v>
      </c>
      <c r="E147" s="1" t="s">
        <v>660</v>
      </c>
      <c r="F147" s="1">
        <v>10</v>
      </c>
      <c r="G147" s="1">
        <v>12899</v>
      </c>
      <c r="H147" s="1">
        <v>10800</v>
      </c>
      <c r="I147" s="1" t="s">
        <v>661</v>
      </c>
      <c r="J147" s="1" t="s">
        <v>662</v>
      </c>
    </row>
    <row r="148" spans="1:10" x14ac:dyDescent="0.3">
      <c r="A148" s="1">
        <v>41028</v>
      </c>
      <c r="B148" s="2" t="s">
        <v>663</v>
      </c>
      <c r="C148" s="1" t="s">
        <v>595</v>
      </c>
      <c r="D148" s="1" t="s">
        <v>596</v>
      </c>
      <c r="E148" s="1" t="s">
        <v>440</v>
      </c>
      <c r="F148" s="1">
        <v>1</v>
      </c>
      <c r="G148" s="1">
        <v>5299</v>
      </c>
      <c r="H148" s="1">
        <v>3800</v>
      </c>
      <c r="I148" s="1" t="s">
        <v>386</v>
      </c>
      <c r="J148" s="1" t="s">
        <v>664</v>
      </c>
    </row>
    <row r="149" spans="1:10" x14ac:dyDescent="0.3">
      <c r="A149" s="1" t="s">
        <v>665</v>
      </c>
      <c r="B149" s="2" t="s">
        <v>666</v>
      </c>
      <c r="C149" s="1" t="s">
        <v>667</v>
      </c>
      <c r="D149" s="1" t="s">
        <v>146</v>
      </c>
      <c r="E149" s="1" t="s">
        <v>340</v>
      </c>
      <c r="F149" s="1">
        <v>2</v>
      </c>
      <c r="G149" s="1">
        <v>499</v>
      </c>
      <c r="H149" s="1">
        <v>180</v>
      </c>
      <c r="I149" s="1" t="s">
        <v>334</v>
      </c>
      <c r="J149" s="1" t="s">
        <v>405</v>
      </c>
    </row>
    <row r="150" spans="1:10" x14ac:dyDescent="0.3">
      <c r="A150" s="1" t="s">
        <v>58</v>
      </c>
      <c r="B150" s="1">
        <v>45833</v>
      </c>
      <c r="C150" s="1" t="s">
        <v>16</v>
      </c>
      <c r="D150" s="1" t="s">
        <v>17</v>
      </c>
      <c r="E150" s="1" t="s">
        <v>23</v>
      </c>
      <c r="F150" s="1">
        <v>3</v>
      </c>
      <c r="G150" s="1">
        <v>3599</v>
      </c>
      <c r="H150" s="1">
        <v>2500</v>
      </c>
      <c r="I150" s="1" t="s">
        <v>33</v>
      </c>
      <c r="J150" s="1" t="s">
        <v>15</v>
      </c>
    </row>
    <row r="151" spans="1:10" x14ac:dyDescent="0.3">
      <c r="A151" s="1" t="s">
        <v>668</v>
      </c>
      <c r="B151" s="2" t="s">
        <v>669</v>
      </c>
      <c r="C151" s="1" t="s">
        <v>338</v>
      </c>
      <c r="D151" s="1" t="s">
        <v>339</v>
      </c>
      <c r="E151" s="1" t="s">
        <v>436</v>
      </c>
      <c r="F151" s="1">
        <v>6</v>
      </c>
      <c r="G151" s="1">
        <v>8799</v>
      </c>
      <c r="H151" s="2" t="s">
        <v>431</v>
      </c>
      <c r="I151" s="1" t="s">
        <v>341</v>
      </c>
      <c r="J151" s="1" t="s">
        <v>370</v>
      </c>
    </row>
    <row r="152" spans="1:10" x14ac:dyDescent="0.3">
      <c r="A152" s="1"/>
      <c r="B152" s="2" t="s">
        <v>670</v>
      </c>
      <c r="C152" s="1" t="s">
        <v>74</v>
      </c>
      <c r="D152" s="1" t="s">
        <v>31</v>
      </c>
      <c r="E152" s="1" t="s">
        <v>32</v>
      </c>
      <c r="F152" s="1">
        <v>5</v>
      </c>
      <c r="G152" s="1">
        <v>1899</v>
      </c>
      <c r="H152" s="2" t="s">
        <v>536</v>
      </c>
      <c r="I152" s="1" t="s">
        <v>19</v>
      </c>
      <c r="J152" s="1" t="s">
        <v>47</v>
      </c>
    </row>
    <row r="153" spans="1:10" x14ac:dyDescent="0.3">
      <c r="A153" s="1" t="s">
        <v>195</v>
      </c>
      <c r="B153" s="1">
        <v>45843</v>
      </c>
      <c r="C153" s="1" t="s">
        <v>49</v>
      </c>
      <c r="D153" s="1" t="s">
        <v>22</v>
      </c>
      <c r="E153" s="1" t="s">
        <v>28</v>
      </c>
      <c r="F153" s="1">
        <v>10</v>
      </c>
      <c r="G153" s="1">
        <v>2699</v>
      </c>
      <c r="H153" s="1">
        <v>1400</v>
      </c>
      <c r="I153" s="1" t="s">
        <v>24</v>
      </c>
      <c r="J153" s="1" t="s">
        <v>26</v>
      </c>
    </row>
    <row r="154" spans="1:10" x14ac:dyDescent="0.3">
      <c r="A154" s="1" t="s">
        <v>671</v>
      </c>
      <c r="B154" s="2" t="s">
        <v>672</v>
      </c>
      <c r="C154" s="1" t="s">
        <v>471</v>
      </c>
      <c r="D154" s="1" t="s">
        <v>141</v>
      </c>
      <c r="E154" s="1" t="s">
        <v>333</v>
      </c>
      <c r="F154" s="1">
        <v>9</v>
      </c>
      <c r="G154" s="2" t="s">
        <v>673</v>
      </c>
      <c r="H154" s="1">
        <v>1200</v>
      </c>
      <c r="I154" s="1" t="s">
        <v>593</v>
      </c>
      <c r="J154" s="1" t="s">
        <v>405</v>
      </c>
    </row>
    <row r="155" spans="1:10" x14ac:dyDescent="0.3">
      <c r="A155" s="1" t="s">
        <v>214</v>
      </c>
      <c r="B155" s="1">
        <v>45844</v>
      </c>
      <c r="C155" s="1" t="s">
        <v>21</v>
      </c>
      <c r="D155" s="1" t="s">
        <v>22</v>
      </c>
      <c r="E155" s="1" t="s">
        <v>23</v>
      </c>
      <c r="F155" s="1">
        <v>4</v>
      </c>
      <c r="G155" s="2" t="s">
        <v>606</v>
      </c>
      <c r="H155" s="1">
        <v>350</v>
      </c>
      <c r="I155" s="1" t="s">
        <v>24</v>
      </c>
      <c r="J155" s="1" t="s">
        <v>370</v>
      </c>
    </row>
    <row r="156" spans="1:10" x14ac:dyDescent="0.3">
      <c r="A156" s="1" t="s">
        <v>165</v>
      </c>
      <c r="B156" s="2" t="s">
        <v>674</v>
      </c>
      <c r="C156" s="1" t="s">
        <v>21</v>
      </c>
      <c r="D156" s="1" t="s">
        <v>22</v>
      </c>
      <c r="E156" s="1" t="s">
        <v>340</v>
      </c>
      <c r="F156" s="1">
        <v>2</v>
      </c>
      <c r="G156" s="1">
        <v>999</v>
      </c>
      <c r="H156" s="1">
        <v>350</v>
      </c>
      <c r="I156" s="1" t="s">
        <v>19</v>
      </c>
      <c r="J156" s="1" t="s">
        <v>370</v>
      </c>
    </row>
    <row r="157" spans="1:10" x14ac:dyDescent="0.3">
      <c r="A157" s="1" t="s">
        <v>675</v>
      </c>
      <c r="B157" s="2" t="s">
        <v>676</v>
      </c>
      <c r="C157" s="1" t="s">
        <v>522</v>
      </c>
      <c r="D157" s="1" t="s">
        <v>523</v>
      </c>
      <c r="E157" s="1" t="s">
        <v>597</v>
      </c>
      <c r="F157" s="2" t="s">
        <v>677</v>
      </c>
      <c r="G157" s="1">
        <v>99</v>
      </c>
      <c r="H157" s="1">
        <v>120</v>
      </c>
      <c r="I157" s="1" t="s">
        <v>348</v>
      </c>
      <c r="J157" s="1" t="s">
        <v>349</v>
      </c>
    </row>
    <row r="158" spans="1:10" x14ac:dyDescent="0.3">
      <c r="A158" s="1" t="s">
        <v>163</v>
      </c>
      <c r="B158" s="1">
        <v>45855</v>
      </c>
      <c r="C158" s="1" t="s">
        <v>678</v>
      </c>
      <c r="D158" s="1" t="s">
        <v>429</v>
      </c>
      <c r="E158" s="1" t="s">
        <v>623</v>
      </c>
      <c r="F158" s="1">
        <v>1</v>
      </c>
      <c r="G158" s="1">
        <v>3299</v>
      </c>
      <c r="H158" s="1">
        <v>2500</v>
      </c>
      <c r="I158" s="1" t="s">
        <v>679</v>
      </c>
      <c r="J158" s="1" t="s">
        <v>487</v>
      </c>
    </row>
    <row r="159" spans="1:10" x14ac:dyDescent="0.3">
      <c r="A159" s="1" t="s">
        <v>680</v>
      </c>
      <c r="B159" s="2" t="s">
        <v>681</v>
      </c>
      <c r="C159" s="1" t="s">
        <v>390</v>
      </c>
      <c r="D159" s="1" t="s">
        <v>141</v>
      </c>
      <c r="E159" s="1" t="s">
        <v>340</v>
      </c>
      <c r="F159" s="1">
        <v>10</v>
      </c>
      <c r="G159" s="1">
        <v>15999</v>
      </c>
      <c r="H159" s="1">
        <v>13500</v>
      </c>
      <c r="I159" s="1" t="s">
        <v>334</v>
      </c>
      <c r="J159" s="1" t="s">
        <v>376</v>
      </c>
    </row>
    <row r="160" spans="1:10" x14ac:dyDescent="0.3">
      <c r="A160" s="1">
        <v>11617</v>
      </c>
      <c r="B160" s="2" t="s">
        <v>682</v>
      </c>
      <c r="C160" s="1" t="s">
        <v>683</v>
      </c>
      <c r="D160" s="1" t="s">
        <v>445</v>
      </c>
      <c r="E160" s="1" t="s">
        <v>532</v>
      </c>
      <c r="F160" s="1">
        <v>2</v>
      </c>
      <c r="G160" s="1">
        <v>3099</v>
      </c>
      <c r="H160" s="2" t="s">
        <v>385</v>
      </c>
      <c r="I160" s="1" t="s">
        <v>364</v>
      </c>
      <c r="J160" s="1" t="s">
        <v>684</v>
      </c>
    </row>
    <row r="161" spans="1:10" x14ac:dyDescent="0.3">
      <c r="A161" s="1" t="s">
        <v>224</v>
      </c>
      <c r="B161" s="1">
        <v>45860</v>
      </c>
      <c r="C161" s="1" t="s">
        <v>51</v>
      </c>
      <c r="D161" s="1" t="s">
        <v>31</v>
      </c>
      <c r="E161" s="1" t="s">
        <v>18</v>
      </c>
      <c r="F161" s="1">
        <v>7</v>
      </c>
      <c r="G161" s="1">
        <v>3099</v>
      </c>
      <c r="H161" s="1">
        <v>1800</v>
      </c>
      <c r="I161" s="1" t="s">
        <v>41</v>
      </c>
      <c r="J161" s="1" t="s">
        <v>15</v>
      </c>
    </row>
    <row r="162" spans="1:10" x14ac:dyDescent="0.3">
      <c r="A162" s="1" t="s">
        <v>120</v>
      </c>
      <c r="B162" s="1">
        <v>45861</v>
      </c>
      <c r="C162" s="1" t="s">
        <v>74</v>
      </c>
      <c r="D162" s="1" t="s">
        <v>31</v>
      </c>
      <c r="E162" s="1" t="s">
        <v>40</v>
      </c>
      <c r="F162" s="1">
        <v>4</v>
      </c>
      <c r="G162" s="1">
        <v>1799</v>
      </c>
      <c r="H162" s="1">
        <v>1200</v>
      </c>
      <c r="I162" s="1" t="s">
        <v>19</v>
      </c>
      <c r="J162" s="1" t="s">
        <v>55</v>
      </c>
    </row>
    <row r="163" spans="1:10" x14ac:dyDescent="0.3">
      <c r="A163" s="1" t="s">
        <v>305</v>
      </c>
      <c r="B163" s="2" t="s">
        <v>685</v>
      </c>
      <c r="C163" s="1" t="s">
        <v>44</v>
      </c>
      <c r="D163" s="1" t="s">
        <v>31</v>
      </c>
      <c r="E163" s="1" t="s">
        <v>28</v>
      </c>
      <c r="F163" s="1">
        <v>3</v>
      </c>
      <c r="G163" s="2" t="s">
        <v>686</v>
      </c>
      <c r="H163" s="1">
        <v>10800</v>
      </c>
      <c r="I163" s="1" t="s">
        <v>19</v>
      </c>
      <c r="J163" s="1"/>
    </row>
    <row r="164" spans="1:10" x14ac:dyDescent="0.3">
      <c r="A164" s="1" t="s">
        <v>687</v>
      </c>
      <c r="B164" s="2" t="s">
        <v>688</v>
      </c>
      <c r="C164" s="1" t="s">
        <v>689</v>
      </c>
      <c r="D164" s="1" t="s">
        <v>339</v>
      </c>
      <c r="E164" s="1" t="s">
        <v>333</v>
      </c>
      <c r="F164" s="1">
        <v>8</v>
      </c>
      <c r="G164" s="1">
        <v>8799</v>
      </c>
      <c r="H164" s="1">
        <v>7000</v>
      </c>
      <c r="I164" s="1" t="s">
        <v>341</v>
      </c>
      <c r="J164" s="1" t="s">
        <v>370</v>
      </c>
    </row>
    <row r="165" spans="1:10" x14ac:dyDescent="0.3">
      <c r="A165" s="1" t="s">
        <v>690</v>
      </c>
      <c r="B165" s="1">
        <v>45865</v>
      </c>
      <c r="C165" s="1" t="s">
        <v>435</v>
      </c>
      <c r="D165" s="1" t="s">
        <v>146</v>
      </c>
      <c r="E165" s="1" t="s">
        <v>340</v>
      </c>
      <c r="F165" s="1">
        <v>1</v>
      </c>
      <c r="G165" s="1">
        <v>499</v>
      </c>
      <c r="H165" s="1">
        <v>180</v>
      </c>
      <c r="I165" s="1" t="s">
        <v>334</v>
      </c>
      <c r="J165" s="1" t="s">
        <v>421</v>
      </c>
    </row>
    <row r="166" spans="1:10" x14ac:dyDescent="0.3">
      <c r="A166" s="1" t="s">
        <v>691</v>
      </c>
      <c r="B166" s="2" t="s">
        <v>692</v>
      </c>
      <c r="C166" s="1" t="s">
        <v>693</v>
      </c>
      <c r="D166" s="1" t="s">
        <v>383</v>
      </c>
      <c r="E166" s="1" t="s">
        <v>384</v>
      </c>
      <c r="F166" s="1">
        <v>8</v>
      </c>
      <c r="G166" s="1">
        <v>3499</v>
      </c>
      <c r="H166" s="1">
        <v>2400</v>
      </c>
      <c r="I166" s="1" t="s">
        <v>416</v>
      </c>
      <c r="J166" s="1" t="s">
        <v>387</v>
      </c>
    </row>
    <row r="167" spans="1:10" x14ac:dyDescent="0.3">
      <c r="A167" s="1" t="s">
        <v>247</v>
      </c>
      <c r="B167" s="1">
        <v>45867</v>
      </c>
      <c r="C167" s="1" t="s">
        <v>54</v>
      </c>
      <c r="D167" s="1" t="s">
        <v>27</v>
      </c>
      <c r="E167" s="1" t="s">
        <v>18</v>
      </c>
      <c r="F167" s="1">
        <v>3</v>
      </c>
      <c r="G167" s="1">
        <v>199</v>
      </c>
      <c r="H167" s="1">
        <v>180</v>
      </c>
      <c r="I167" s="1" t="s">
        <v>24</v>
      </c>
      <c r="J167" s="1" t="s">
        <v>26</v>
      </c>
    </row>
    <row r="168" spans="1:10" x14ac:dyDescent="0.3">
      <c r="A168" s="1" t="s">
        <v>53</v>
      </c>
      <c r="B168" s="2" t="s">
        <v>694</v>
      </c>
      <c r="C168" s="1" t="s">
        <v>54</v>
      </c>
      <c r="D168" s="1" t="s">
        <v>27</v>
      </c>
      <c r="E168" s="1"/>
      <c r="F168" s="1">
        <v>10</v>
      </c>
      <c r="G168" s="1">
        <v>299</v>
      </c>
      <c r="H168" s="1">
        <v>180</v>
      </c>
      <c r="I168" s="1" t="s">
        <v>33</v>
      </c>
      <c r="J168" s="1" t="s">
        <v>55</v>
      </c>
    </row>
    <row r="169" spans="1:10" x14ac:dyDescent="0.3">
      <c r="A169" s="1" t="s">
        <v>192</v>
      </c>
      <c r="B169" s="2" t="s">
        <v>695</v>
      </c>
      <c r="C169" s="1" t="s">
        <v>696</v>
      </c>
      <c r="D169" s="1" t="s">
        <v>457</v>
      </c>
      <c r="E169" s="1" t="s">
        <v>623</v>
      </c>
      <c r="F169" s="1">
        <v>10</v>
      </c>
      <c r="G169" s="1">
        <v>16199</v>
      </c>
      <c r="H169" s="2" t="s">
        <v>697</v>
      </c>
      <c r="I169" s="1" t="s">
        <v>399</v>
      </c>
      <c r="J169" s="1" t="s">
        <v>34</v>
      </c>
    </row>
    <row r="170" spans="1:10" x14ac:dyDescent="0.3">
      <c r="A170" s="1" t="s">
        <v>217</v>
      </c>
      <c r="B170" s="1">
        <v>45871</v>
      </c>
      <c r="C170" s="1" t="s">
        <v>51</v>
      </c>
      <c r="D170" s="1" t="s">
        <v>31</v>
      </c>
      <c r="E170" s="1" t="s">
        <v>23</v>
      </c>
      <c r="F170" s="1">
        <v>9</v>
      </c>
      <c r="G170" s="1">
        <v>2999</v>
      </c>
      <c r="H170" s="2" t="s">
        <v>698</v>
      </c>
      <c r="I170" s="1" t="s">
        <v>19</v>
      </c>
      <c r="J170" s="1" t="s">
        <v>55</v>
      </c>
    </row>
    <row r="171" spans="1:10" x14ac:dyDescent="0.3">
      <c r="A171" s="1" t="s">
        <v>292</v>
      </c>
      <c r="B171" s="1">
        <v>45871</v>
      </c>
      <c r="C171" s="1" t="s">
        <v>91</v>
      </c>
      <c r="D171" s="1" t="s">
        <v>38</v>
      </c>
      <c r="E171" s="1" t="s">
        <v>340</v>
      </c>
      <c r="F171" s="1">
        <v>5</v>
      </c>
      <c r="G171" s="1">
        <v>699</v>
      </c>
      <c r="H171" s="1"/>
      <c r="I171" s="1" t="s">
        <v>19</v>
      </c>
      <c r="J171" s="1" t="s">
        <v>55</v>
      </c>
    </row>
    <row r="172" spans="1:10" x14ac:dyDescent="0.3">
      <c r="A172" s="1">
        <v>79749</v>
      </c>
      <c r="B172" s="2" t="s">
        <v>699</v>
      </c>
      <c r="C172" s="1" t="s">
        <v>435</v>
      </c>
      <c r="D172" s="1" t="s">
        <v>146</v>
      </c>
      <c r="E172" s="1" t="s">
        <v>353</v>
      </c>
      <c r="F172" s="1">
        <v>1</v>
      </c>
      <c r="G172" s="2" t="s">
        <v>700</v>
      </c>
      <c r="H172" s="1">
        <v>180</v>
      </c>
      <c r="I172" s="1" t="s">
        <v>341</v>
      </c>
      <c r="J172" s="1" t="s">
        <v>491</v>
      </c>
    </row>
    <row r="173" spans="1:10" x14ac:dyDescent="0.3">
      <c r="A173" s="1" t="s">
        <v>701</v>
      </c>
      <c r="B173" s="1">
        <v>45876</v>
      </c>
      <c r="C173" s="1" t="s">
        <v>702</v>
      </c>
      <c r="D173" s="1" t="s">
        <v>703</v>
      </c>
      <c r="E173" s="1" t="s">
        <v>363</v>
      </c>
      <c r="F173" s="1">
        <v>2</v>
      </c>
      <c r="G173" s="2" t="s">
        <v>704</v>
      </c>
      <c r="H173" s="1">
        <v>90</v>
      </c>
      <c r="I173" s="1" t="s">
        <v>410</v>
      </c>
      <c r="J173" s="1" t="s">
        <v>478</v>
      </c>
    </row>
    <row r="174" spans="1:10" x14ac:dyDescent="0.3">
      <c r="A174" s="1" t="s">
        <v>705</v>
      </c>
      <c r="B174" s="2" t="s">
        <v>706</v>
      </c>
      <c r="C174" s="1" t="s">
        <v>689</v>
      </c>
      <c r="D174" s="1" t="s">
        <v>339</v>
      </c>
      <c r="E174" s="1" t="s">
        <v>340</v>
      </c>
      <c r="F174" s="2" t="s">
        <v>707</v>
      </c>
      <c r="G174" s="1"/>
      <c r="H174" s="1">
        <v>7000</v>
      </c>
      <c r="I174" s="1" t="s">
        <v>334</v>
      </c>
      <c r="J174" s="1" t="s">
        <v>370</v>
      </c>
    </row>
    <row r="175" spans="1:10" x14ac:dyDescent="0.3">
      <c r="A175" s="1" t="s">
        <v>705</v>
      </c>
      <c r="B175" s="2" t="s">
        <v>706</v>
      </c>
      <c r="C175" s="1" t="s">
        <v>689</v>
      </c>
      <c r="D175" s="1" t="s">
        <v>339</v>
      </c>
      <c r="E175" s="1" t="s">
        <v>340</v>
      </c>
      <c r="F175" s="2" t="s">
        <v>707</v>
      </c>
      <c r="G175" s="1"/>
      <c r="H175" s="1">
        <v>7000</v>
      </c>
      <c r="I175" s="1" t="s">
        <v>334</v>
      </c>
      <c r="J175" s="1" t="s">
        <v>370</v>
      </c>
    </row>
    <row r="176" spans="1:10" x14ac:dyDescent="0.3">
      <c r="A176" s="1" t="s">
        <v>708</v>
      </c>
      <c r="B176" s="2" t="s">
        <v>709</v>
      </c>
      <c r="C176" s="1" t="s">
        <v>710</v>
      </c>
      <c r="D176" s="1" t="s">
        <v>596</v>
      </c>
      <c r="E176" s="1" t="s">
        <v>440</v>
      </c>
      <c r="F176" s="1">
        <v>2</v>
      </c>
      <c r="G176" s="1">
        <v>7099</v>
      </c>
      <c r="H176" s="1">
        <v>5000</v>
      </c>
      <c r="I176" s="1" t="s">
        <v>416</v>
      </c>
      <c r="J176" s="1" t="s">
        <v>349</v>
      </c>
    </row>
    <row r="177" spans="1:10" x14ac:dyDescent="0.3">
      <c r="A177" s="1" t="s">
        <v>307</v>
      </c>
      <c r="B177" s="2" t="s">
        <v>711</v>
      </c>
      <c r="C177" s="1" t="s">
        <v>57</v>
      </c>
      <c r="D177" s="1" t="s">
        <v>17</v>
      </c>
      <c r="E177" s="1" t="s">
        <v>32</v>
      </c>
      <c r="F177" s="1"/>
      <c r="G177" s="1">
        <v>8799</v>
      </c>
      <c r="H177" s="1">
        <v>7000</v>
      </c>
      <c r="I177" s="1" t="s">
        <v>14</v>
      </c>
      <c r="J177" s="1" t="s">
        <v>47</v>
      </c>
    </row>
    <row r="178" spans="1:10" x14ac:dyDescent="0.3">
      <c r="A178" s="1" t="s">
        <v>10</v>
      </c>
      <c r="B178" s="1">
        <v>45879</v>
      </c>
      <c r="C178" s="1" t="s">
        <v>11</v>
      </c>
      <c r="D178" s="1" t="s">
        <v>12</v>
      </c>
      <c r="E178" s="1" t="s">
        <v>13</v>
      </c>
      <c r="F178" s="1">
        <v>2</v>
      </c>
      <c r="G178" s="1">
        <v>6999</v>
      </c>
      <c r="H178" s="1">
        <v>5000</v>
      </c>
      <c r="I178" s="1" t="s">
        <v>14</v>
      </c>
      <c r="J178" s="1" t="s">
        <v>15</v>
      </c>
    </row>
    <row r="179" spans="1:10" x14ac:dyDescent="0.3">
      <c r="A179" s="1" t="s">
        <v>280</v>
      </c>
      <c r="B179" s="2" t="s">
        <v>712</v>
      </c>
      <c r="C179" s="1" t="s">
        <v>21</v>
      </c>
      <c r="D179" s="1" t="s">
        <v>22</v>
      </c>
      <c r="E179" s="1" t="s">
        <v>340</v>
      </c>
      <c r="F179" s="1">
        <v>9</v>
      </c>
      <c r="G179" s="1">
        <v>699</v>
      </c>
      <c r="H179" s="1">
        <v>350</v>
      </c>
      <c r="I179" s="1" t="s">
        <v>41</v>
      </c>
      <c r="J179" s="1" t="s">
        <v>370</v>
      </c>
    </row>
    <row r="180" spans="1:10" x14ac:dyDescent="0.3">
      <c r="A180" s="1" t="s">
        <v>713</v>
      </c>
      <c r="B180" s="2" t="s">
        <v>714</v>
      </c>
      <c r="C180" s="1" t="s">
        <v>338</v>
      </c>
      <c r="D180" s="1" t="s">
        <v>339</v>
      </c>
      <c r="E180" s="1" t="s">
        <v>340</v>
      </c>
      <c r="F180" s="1">
        <v>2</v>
      </c>
      <c r="G180" s="1">
        <v>8799</v>
      </c>
      <c r="H180" s="1">
        <v>7000</v>
      </c>
      <c r="I180" s="1" t="s">
        <v>593</v>
      </c>
      <c r="J180" s="1" t="s">
        <v>421</v>
      </c>
    </row>
    <row r="181" spans="1:10" x14ac:dyDescent="0.3">
      <c r="A181" s="1" t="s">
        <v>79</v>
      </c>
      <c r="B181" s="2" t="s">
        <v>715</v>
      </c>
      <c r="C181" s="1" t="s">
        <v>354</v>
      </c>
      <c r="D181" s="1" t="s">
        <v>355</v>
      </c>
      <c r="E181" s="1" t="s">
        <v>623</v>
      </c>
      <c r="F181" s="1">
        <v>7</v>
      </c>
      <c r="G181" s="1">
        <v>599</v>
      </c>
      <c r="H181" s="1">
        <v>180</v>
      </c>
      <c r="I181" s="1" t="s">
        <v>551</v>
      </c>
      <c r="J181" s="1" t="s">
        <v>716</v>
      </c>
    </row>
    <row r="182" spans="1:10" x14ac:dyDescent="0.3">
      <c r="A182" s="1" t="s">
        <v>213</v>
      </c>
      <c r="B182" s="2" t="s">
        <v>717</v>
      </c>
      <c r="C182" s="1" t="s">
        <v>11</v>
      </c>
      <c r="D182" s="1" t="s">
        <v>12</v>
      </c>
      <c r="E182" s="1" t="s">
        <v>28</v>
      </c>
      <c r="F182" s="1">
        <v>7</v>
      </c>
      <c r="G182" s="1">
        <v>7199</v>
      </c>
      <c r="H182" s="1">
        <v>5000</v>
      </c>
      <c r="I182" s="1" t="s">
        <v>19</v>
      </c>
      <c r="J182" s="1" t="s">
        <v>47</v>
      </c>
    </row>
    <row r="183" spans="1:10" x14ac:dyDescent="0.3">
      <c r="A183" s="1" t="s">
        <v>111</v>
      </c>
      <c r="B183" s="1">
        <v>45883</v>
      </c>
      <c r="C183" s="1" t="s">
        <v>46</v>
      </c>
      <c r="D183" s="1" t="s">
        <v>27</v>
      </c>
      <c r="E183" s="1" t="s">
        <v>23</v>
      </c>
      <c r="F183" s="1">
        <v>3</v>
      </c>
      <c r="G183" s="1">
        <v>299</v>
      </c>
      <c r="H183" s="1">
        <v>120</v>
      </c>
      <c r="I183" s="1" t="s">
        <v>14</v>
      </c>
      <c r="J183" s="1" t="s">
        <v>34</v>
      </c>
    </row>
    <row r="184" spans="1:10" x14ac:dyDescent="0.3">
      <c r="A184" s="1" t="s">
        <v>294</v>
      </c>
      <c r="B184" s="1">
        <v>45883</v>
      </c>
      <c r="C184" s="1" t="s">
        <v>49</v>
      </c>
      <c r="D184" s="1" t="s">
        <v>22</v>
      </c>
      <c r="E184" s="1" t="s">
        <v>23</v>
      </c>
      <c r="F184" s="1">
        <v>10</v>
      </c>
      <c r="G184" s="1">
        <v>2499</v>
      </c>
      <c r="H184" s="2" t="s">
        <v>718</v>
      </c>
      <c r="I184" s="1" t="s">
        <v>19</v>
      </c>
      <c r="J184" s="1" t="s">
        <v>26</v>
      </c>
    </row>
    <row r="185" spans="1:10" x14ac:dyDescent="0.3">
      <c r="A185" s="1">
        <v>97469</v>
      </c>
      <c r="B185" s="2" t="s">
        <v>719</v>
      </c>
      <c r="C185" s="1" t="s">
        <v>720</v>
      </c>
      <c r="D185" s="1" t="s">
        <v>721</v>
      </c>
      <c r="E185" s="1" t="s">
        <v>722</v>
      </c>
      <c r="F185" s="1">
        <v>2</v>
      </c>
      <c r="G185" s="1">
        <v>499</v>
      </c>
      <c r="H185" s="1">
        <v>120</v>
      </c>
      <c r="I185" s="1" t="s">
        <v>723</v>
      </c>
      <c r="J185" s="1" t="s">
        <v>465</v>
      </c>
    </row>
    <row r="186" spans="1:10" x14ac:dyDescent="0.3">
      <c r="A186" s="1" t="s">
        <v>225</v>
      </c>
      <c r="B186" s="1">
        <v>45884</v>
      </c>
      <c r="C186" s="1" t="s">
        <v>57</v>
      </c>
      <c r="D186" s="1" t="s">
        <v>17</v>
      </c>
      <c r="E186" s="1" t="s">
        <v>13</v>
      </c>
      <c r="F186" s="1">
        <v>8</v>
      </c>
      <c r="G186" s="1">
        <v>8899</v>
      </c>
      <c r="H186" s="1">
        <v>7000</v>
      </c>
      <c r="I186" s="1" t="s">
        <v>41</v>
      </c>
      <c r="J186" s="1" t="s">
        <v>47</v>
      </c>
    </row>
    <row r="187" spans="1:10" x14ac:dyDescent="0.3">
      <c r="A187" s="1" t="s">
        <v>724</v>
      </c>
      <c r="B187" s="1">
        <v>45885</v>
      </c>
      <c r="C187" s="1" t="s">
        <v>725</v>
      </c>
      <c r="D187" s="1" t="s">
        <v>726</v>
      </c>
      <c r="E187" s="1" t="s">
        <v>563</v>
      </c>
      <c r="F187" s="1">
        <v>7</v>
      </c>
      <c r="G187" s="2" t="s">
        <v>727</v>
      </c>
      <c r="H187" s="2" t="s">
        <v>697</v>
      </c>
      <c r="I187" s="1" t="s">
        <v>508</v>
      </c>
      <c r="J187" s="1" t="s">
        <v>565</v>
      </c>
    </row>
    <row r="188" spans="1:10" x14ac:dyDescent="0.3">
      <c r="A188" s="1" t="s">
        <v>75</v>
      </c>
      <c r="B188" s="2" t="s">
        <v>728</v>
      </c>
      <c r="C188" s="1" t="s">
        <v>30</v>
      </c>
      <c r="D188" s="1" t="s">
        <v>31</v>
      </c>
      <c r="E188" s="1" t="s">
        <v>13</v>
      </c>
      <c r="F188" s="1">
        <v>1</v>
      </c>
      <c r="G188" s="1">
        <v>15999</v>
      </c>
      <c r="H188" s="1">
        <v>13500</v>
      </c>
      <c r="I188" s="1" t="s">
        <v>41</v>
      </c>
      <c r="J188" s="1" t="s">
        <v>47</v>
      </c>
    </row>
    <row r="189" spans="1:10" x14ac:dyDescent="0.3">
      <c r="A189" s="1" t="s">
        <v>316</v>
      </c>
      <c r="B189" s="2" t="s">
        <v>729</v>
      </c>
      <c r="C189" s="1" t="s">
        <v>91</v>
      </c>
      <c r="D189" s="1" t="s">
        <v>38</v>
      </c>
      <c r="E189" s="1" t="s">
        <v>13</v>
      </c>
      <c r="F189" s="1">
        <v>1</v>
      </c>
      <c r="G189" s="1">
        <v>799</v>
      </c>
      <c r="H189" s="1">
        <v>500</v>
      </c>
      <c r="I189" s="1" t="s">
        <v>33</v>
      </c>
      <c r="J189" s="1" t="s">
        <v>34</v>
      </c>
    </row>
    <row r="190" spans="1:10" x14ac:dyDescent="0.3">
      <c r="A190" s="1"/>
      <c r="B190" s="2" t="s">
        <v>730</v>
      </c>
      <c r="C190" s="1" t="s">
        <v>731</v>
      </c>
      <c r="D190" s="1" t="s">
        <v>454</v>
      </c>
      <c r="E190" s="1" t="s">
        <v>404</v>
      </c>
      <c r="F190" s="1">
        <v>3</v>
      </c>
      <c r="G190" s="2" t="s">
        <v>606</v>
      </c>
      <c r="H190" s="2" t="s">
        <v>635</v>
      </c>
      <c r="I190" s="1" t="s">
        <v>420</v>
      </c>
      <c r="J190" s="1" t="s">
        <v>370</v>
      </c>
    </row>
    <row r="191" spans="1:10" x14ac:dyDescent="0.3">
      <c r="A191" s="1" t="s">
        <v>42</v>
      </c>
      <c r="B191" s="2" t="s">
        <v>732</v>
      </c>
      <c r="C191" s="1" t="s">
        <v>494</v>
      </c>
      <c r="D191" s="1" t="s">
        <v>22</v>
      </c>
      <c r="E191" s="1" t="s">
        <v>18</v>
      </c>
      <c r="F191" s="1">
        <v>1</v>
      </c>
      <c r="G191" s="1">
        <v>599</v>
      </c>
      <c r="H191" s="1">
        <v>350</v>
      </c>
      <c r="I191" s="1" t="s">
        <v>24</v>
      </c>
      <c r="J191" s="1" t="s">
        <v>370</v>
      </c>
    </row>
    <row r="192" spans="1:10" x14ac:dyDescent="0.3">
      <c r="A192" s="1" t="s">
        <v>186</v>
      </c>
      <c r="B192" s="1">
        <v>45890</v>
      </c>
      <c r="C192" s="1" t="s">
        <v>733</v>
      </c>
      <c r="D192" s="1" t="s">
        <v>457</v>
      </c>
      <c r="E192" s="1" t="s">
        <v>623</v>
      </c>
      <c r="F192" s="2" t="s">
        <v>545</v>
      </c>
      <c r="G192" s="1">
        <v>3099</v>
      </c>
      <c r="H192" s="1">
        <v>1800</v>
      </c>
      <c r="I192" s="1" t="s">
        <v>399</v>
      </c>
      <c r="J192" s="1" t="s">
        <v>487</v>
      </c>
    </row>
    <row r="193" spans="1:10" x14ac:dyDescent="0.3">
      <c r="A193" s="1" t="s">
        <v>122</v>
      </c>
      <c r="B193" s="2" t="s">
        <v>734</v>
      </c>
      <c r="C193" s="1" t="s">
        <v>16</v>
      </c>
      <c r="D193" s="1" t="s">
        <v>17</v>
      </c>
      <c r="E193" s="1" t="s">
        <v>23</v>
      </c>
      <c r="F193" s="1">
        <v>10</v>
      </c>
      <c r="G193" s="2" t="s">
        <v>735</v>
      </c>
      <c r="H193" s="1">
        <v>2500</v>
      </c>
      <c r="I193" s="1"/>
      <c r="J193" s="1" t="s">
        <v>52</v>
      </c>
    </row>
    <row r="194" spans="1:10" x14ac:dyDescent="0.3">
      <c r="A194" s="1" t="s">
        <v>736</v>
      </c>
      <c r="B194" s="2" t="s">
        <v>737</v>
      </c>
      <c r="C194" s="1" t="s">
        <v>630</v>
      </c>
      <c r="D194" s="1" t="s">
        <v>631</v>
      </c>
      <c r="E194" s="1" t="s">
        <v>632</v>
      </c>
      <c r="F194" s="1">
        <v>7</v>
      </c>
      <c r="G194" s="1">
        <v>2199</v>
      </c>
      <c r="H194" s="1">
        <v>1200</v>
      </c>
      <c r="I194" s="1" t="s">
        <v>500</v>
      </c>
      <c r="J194" s="1" t="s">
        <v>465</v>
      </c>
    </row>
    <row r="195" spans="1:10" x14ac:dyDescent="0.3">
      <c r="A195" s="1" t="s">
        <v>738</v>
      </c>
      <c r="B195" s="2" t="s">
        <v>739</v>
      </c>
      <c r="C195" s="1" t="s">
        <v>390</v>
      </c>
      <c r="D195" s="1" t="s">
        <v>141</v>
      </c>
      <c r="E195" s="1" t="s">
        <v>436</v>
      </c>
      <c r="F195" s="1">
        <v>2</v>
      </c>
      <c r="G195" s="1">
        <v>15999</v>
      </c>
      <c r="H195" s="1">
        <v>13500</v>
      </c>
      <c r="I195" s="1" t="s">
        <v>396</v>
      </c>
      <c r="J195" s="1" t="s">
        <v>335</v>
      </c>
    </row>
    <row r="196" spans="1:10" x14ac:dyDescent="0.3">
      <c r="A196" s="1" t="s">
        <v>216</v>
      </c>
      <c r="B196" s="1">
        <v>45893</v>
      </c>
      <c r="C196" s="1" t="s">
        <v>51</v>
      </c>
      <c r="D196" s="1" t="s">
        <v>31</v>
      </c>
      <c r="E196" s="1" t="s">
        <v>13</v>
      </c>
      <c r="F196" s="1">
        <v>3</v>
      </c>
      <c r="G196" s="1">
        <v>2899</v>
      </c>
      <c r="H196" s="1">
        <v>1800</v>
      </c>
      <c r="I196" s="1" t="s">
        <v>14</v>
      </c>
      <c r="J196" s="1" t="s">
        <v>15</v>
      </c>
    </row>
    <row r="197" spans="1:10" x14ac:dyDescent="0.3">
      <c r="A197" s="1">
        <v>31565</v>
      </c>
      <c r="B197" s="2" t="s">
        <v>740</v>
      </c>
      <c r="C197" s="1" t="s">
        <v>46</v>
      </c>
      <c r="D197" s="1" t="s">
        <v>27</v>
      </c>
      <c r="E197" s="1" t="s">
        <v>23</v>
      </c>
      <c r="F197" s="1">
        <v>10</v>
      </c>
      <c r="G197" s="1">
        <v>399</v>
      </c>
      <c r="H197" s="1">
        <v>120</v>
      </c>
      <c r="I197" s="1" t="s">
        <v>24</v>
      </c>
      <c r="J197" s="1" t="s">
        <v>26</v>
      </c>
    </row>
    <row r="198" spans="1:10" x14ac:dyDescent="0.3">
      <c r="A198" s="1" t="s">
        <v>136</v>
      </c>
      <c r="B198" s="1">
        <v>45895</v>
      </c>
      <c r="C198" s="1" t="s">
        <v>11</v>
      </c>
      <c r="D198" s="1" t="s">
        <v>12</v>
      </c>
      <c r="E198" s="1" t="s">
        <v>23</v>
      </c>
      <c r="F198" s="1">
        <v>1</v>
      </c>
      <c r="G198" s="1">
        <v>7199</v>
      </c>
      <c r="H198" s="1">
        <v>5000</v>
      </c>
      <c r="I198" s="1" t="s">
        <v>19</v>
      </c>
      <c r="J198" s="1" t="s">
        <v>26</v>
      </c>
    </row>
    <row r="199" spans="1:10" x14ac:dyDescent="0.3">
      <c r="A199" s="1" t="s">
        <v>324</v>
      </c>
      <c r="B199" s="1">
        <v>45900</v>
      </c>
      <c r="C199" s="1" t="s">
        <v>54</v>
      </c>
      <c r="D199" s="1" t="s">
        <v>27</v>
      </c>
      <c r="E199" s="1" t="s">
        <v>340</v>
      </c>
      <c r="F199" s="1">
        <v>5</v>
      </c>
      <c r="G199" s="1">
        <v>299</v>
      </c>
      <c r="H199" s="1">
        <v>180</v>
      </c>
      <c r="I199" s="1" t="s">
        <v>19</v>
      </c>
      <c r="J199" s="1" t="s">
        <v>52</v>
      </c>
    </row>
    <row r="200" spans="1:10" x14ac:dyDescent="0.3">
      <c r="A200" s="1" t="s">
        <v>741</v>
      </c>
      <c r="B200" s="2" t="s">
        <v>742</v>
      </c>
      <c r="C200" s="1" t="s">
        <v>743</v>
      </c>
      <c r="D200" s="1" t="s">
        <v>507</v>
      </c>
      <c r="E200" s="1" t="s">
        <v>744</v>
      </c>
      <c r="F200" s="1">
        <v>9</v>
      </c>
      <c r="G200" s="1">
        <v>3599</v>
      </c>
      <c r="H200" s="1">
        <v>2500</v>
      </c>
      <c r="I200" s="1" t="s">
        <v>564</v>
      </c>
      <c r="J200" s="1" t="s">
        <v>509</v>
      </c>
    </row>
    <row r="201" spans="1:10" x14ac:dyDescent="0.3">
      <c r="A201" s="1" t="s">
        <v>745</v>
      </c>
      <c r="B201" s="2" t="s">
        <v>746</v>
      </c>
      <c r="C201" s="1" t="s">
        <v>747</v>
      </c>
      <c r="D201" s="1" t="s">
        <v>141</v>
      </c>
      <c r="E201" s="1" t="s">
        <v>436</v>
      </c>
      <c r="F201" s="1">
        <v>9</v>
      </c>
      <c r="G201" s="1">
        <v>16199</v>
      </c>
      <c r="H201" s="1">
        <v>13500</v>
      </c>
      <c r="I201" s="1" t="s">
        <v>396</v>
      </c>
      <c r="J201" s="1" t="s">
        <v>491</v>
      </c>
    </row>
    <row r="202" spans="1:10" x14ac:dyDescent="0.3">
      <c r="A202" s="1" t="s">
        <v>255</v>
      </c>
      <c r="B202" s="1">
        <v>45906</v>
      </c>
      <c r="C202" s="1" t="s">
        <v>49</v>
      </c>
      <c r="D202" s="1" t="s">
        <v>22</v>
      </c>
      <c r="E202" s="1" t="s">
        <v>28</v>
      </c>
      <c r="F202" s="1">
        <v>10</v>
      </c>
      <c r="G202" s="1">
        <v>2599</v>
      </c>
      <c r="H202" s="1">
        <v>1400</v>
      </c>
      <c r="I202" s="1" t="s">
        <v>41</v>
      </c>
      <c r="J202" s="1" t="s">
        <v>34</v>
      </c>
    </row>
    <row r="203" spans="1:10" x14ac:dyDescent="0.3">
      <c r="A203" s="1" t="s">
        <v>748</v>
      </c>
      <c r="B203" s="2" t="s">
        <v>749</v>
      </c>
      <c r="C203" s="1" t="s">
        <v>750</v>
      </c>
      <c r="D203" s="1" t="s">
        <v>751</v>
      </c>
      <c r="E203" s="1" t="s">
        <v>752</v>
      </c>
      <c r="F203" s="1">
        <v>4</v>
      </c>
      <c r="G203" s="1">
        <v>9099</v>
      </c>
      <c r="H203" s="1">
        <v>7000</v>
      </c>
      <c r="I203" s="1" t="s">
        <v>581</v>
      </c>
      <c r="J203" s="1" t="s">
        <v>753</v>
      </c>
    </row>
    <row r="204" spans="1:10" x14ac:dyDescent="0.3">
      <c r="A204" s="1" t="s">
        <v>271</v>
      </c>
      <c r="B204" s="1">
        <v>45909</v>
      </c>
      <c r="C204" s="1" t="s">
        <v>54</v>
      </c>
      <c r="D204" s="1" t="s">
        <v>27</v>
      </c>
      <c r="E204" s="1" t="s">
        <v>340</v>
      </c>
      <c r="F204" s="1">
        <v>6</v>
      </c>
      <c r="G204" s="1">
        <v>399</v>
      </c>
      <c r="H204" s="2" t="s">
        <v>754</v>
      </c>
      <c r="I204" s="1" t="s">
        <v>19</v>
      </c>
      <c r="J204" s="1" t="s">
        <v>47</v>
      </c>
    </row>
    <row r="205" spans="1:10" x14ac:dyDescent="0.3">
      <c r="A205" s="1" t="s">
        <v>755</v>
      </c>
      <c r="B205" s="2" t="s">
        <v>756</v>
      </c>
      <c r="C205" s="1" t="s">
        <v>731</v>
      </c>
      <c r="D205" s="1" t="s">
        <v>454</v>
      </c>
      <c r="E205" s="1" t="s">
        <v>340</v>
      </c>
      <c r="F205" s="1">
        <v>1</v>
      </c>
      <c r="G205" s="1">
        <v>699</v>
      </c>
      <c r="H205" s="1">
        <v>350</v>
      </c>
      <c r="I205" s="1" t="s">
        <v>420</v>
      </c>
      <c r="J205" s="1" t="s">
        <v>491</v>
      </c>
    </row>
    <row r="206" spans="1:10" x14ac:dyDescent="0.3">
      <c r="A206" s="1" t="s">
        <v>134</v>
      </c>
      <c r="B206" s="2" t="s">
        <v>757</v>
      </c>
      <c r="C206" s="1" t="s">
        <v>57</v>
      </c>
      <c r="D206" s="1" t="s">
        <v>17</v>
      </c>
      <c r="E206" s="1" t="s">
        <v>32</v>
      </c>
      <c r="F206" s="1">
        <v>1</v>
      </c>
      <c r="G206" s="1">
        <v>8799</v>
      </c>
      <c r="H206" s="1">
        <v>7000</v>
      </c>
      <c r="I206" s="1" t="s">
        <v>24</v>
      </c>
      <c r="J206" s="1" t="s">
        <v>15</v>
      </c>
    </row>
    <row r="207" spans="1:10" x14ac:dyDescent="0.3">
      <c r="A207" s="1" t="s">
        <v>298</v>
      </c>
      <c r="B207" s="1">
        <v>45915</v>
      </c>
      <c r="C207" s="1" t="s">
        <v>60</v>
      </c>
      <c r="D207" s="1" t="s">
        <v>31</v>
      </c>
      <c r="E207" s="1" t="s">
        <v>23</v>
      </c>
      <c r="F207" s="1">
        <v>7</v>
      </c>
      <c r="G207" s="2" t="s">
        <v>758</v>
      </c>
      <c r="H207" s="2" t="s">
        <v>450</v>
      </c>
      <c r="I207" s="1" t="s">
        <v>19</v>
      </c>
      <c r="J207" s="1" t="s">
        <v>15</v>
      </c>
    </row>
    <row r="208" spans="1:10" x14ac:dyDescent="0.3">
      <c r="A208" s="1" t="s">
        <v>759</v>
      </c>
      <c r="B208" s="1">
        <v>45916</v>
      </c>
      <c r="C208" s="1" t="s">
        <v>760</v>
      </c>
      <c r="D208" s="1" t="s">
        <v>339</v>
      </c>
      <c r="E208" s="1" t="s">
        <v>404</v>
      </c>
      <c r="F208" s="1">
        <v>1</v>
      </c>
      <c r="G208" s="1">
        <v>3599</v>
      </c>
      <c r="H208" s="1">
        <v>2500</v>
      </c>
      <c r="I208" s="1" t="s">
        <v>396</v>
      </c>
      <c r="J208" s="1" t="s">
        <v>605</v>
      </c>
    </row>
    <row r="209" spans="1:10" x14ac:dyDescent="0.3">
      <c r="A209" s="1">
        <v>30297</v>
      </c>
      <c r="B209" s="2" t="s">
        <v>761</v>
      </c>
      <c r="C209" s="1" t="s">
        <v>51</v>
      </c>
      <c r="D209" s="1" t="s">
        <v>31</v>
      </c>
      <c r="E209" s="1" t="s">
        <v>13</v>
      </c>
      <c r="F209" s="2" t="s">
        <v>762</v>
      </c>
      <c r="G209" s="1">
        <v>2799</v>
      </c>
      <c r="H209" s="2" t="s">
        <v>698</v>
      </c>
      <c r="I209" s="1" t="s">
        <v>19</v>
      </c>
      <c r="J209" s="1" t="s">
        <v>52</v>
      </c>
    </row>
    <row r="210" spans="1:10" x14ac:dyDescent="0.3">
      <c r="A210" s="1">
        <v>30297</v>
      </c>
      <c r="B210" s="2" t="s">
        <v>761</v>
      </c>
      <c r="C210" s="1" t="s">
        <v>51</v>
      </c>
      <c r="D210" s="1" t="s">
        <v>31</v>
      </c>
      <c r="E210" s="1" t="s">
        <v>13</v>
      </c>
      <c r="F210" s="2" t="s">
        <v>762</v>
      </c>
      <c r="G210" s="1">
        <v>2799</v>
      </c>
      <c r="H210" s="2" t="s">
        <v>698</v>
      </c>
      <c r="I210" s="1" t="s">
        <v>19</v>
      </c>
      <c r="J210" s="1" t="s">
        <v>52</v>
      </c>
    </row>
    <row r="211" spans="1:10" x14ac:dyDescent="0.3">
      <c r="A211" s="1" t="s">
        <v>763</v>
      </c>
      <c r="B211" s="2" t="s">
        <v>764</v>
      </c>
      <c r="C211" s="1" t="s">
        <v>667</v>
      </c>
      <c r="D211" s="1" t="s">
        <v>146</v>
      </c>
      <c r="E211" s="1"/>
      <c r="F211" s="1">
        <v>9</v>
      </c>
      <c r="G211" s="2" t="s">
        <v>765</v>
      </c>
      <c r="H211" s="1">
        <v>180</v>
      </c>
      <c r="I211" s="1" t="s">
        <v>396</v>
      </c>
      <c r="J211" s="1" t="s">
        <v>335</v>
      </c>
    </row>
    <row r="212" spans="1:10" x14ac:dyDescent="0.3">
      <c r="A212" s="1" t="s">
        <v>181</v>
      </c>
      <c r="B212" s="1">
        <v>45923</v>
      </c>
      <c r="C212" s="1" t="s">
        <v>74</v>
      </c>
      <c r="D212" s="1" t="s">
        <v>31</v>
      </c>
      <c r="E212" s="1" t="s">
        <v>32</v>
      </c>
      <c r="F212" s="1">
        <v>5</v>
      </c>
      <c r="G212" s="1">
        <v>1799</v>
      </c>
      <c r="H212" s="1">
        <v>1200</v>
      </c>
      <c r="I212" s="1" t="s">
        <v>24</v>
      </c>
      <c r="J212" s="1" t="s">
        <v>15</v>
      </c>
    </row>
    <row r="213" spans="1:10" x14ac:dyDescent="0.3">
      <c r="A213" s="1" t="s">
        <v>766</v>
      </c>
      <c r="B213" s="2" t="s">
        <v>767</v>
      </c>
      <c r="C213" s="1" t="s">
        <v>382</v>
      </c>
      <c r="D213" s="1" t="s">
        <v>383</v>
      </c>
      <c r="E213" s="1" t="s">
        <v>440</v>
      </c>
      <c r="F213" s="1">
        <v>8</v>
      </c>
      <c r="G213" s="2" t="s">
        <v>768</v>
      </c>
      <c r="H213" s="1">
        <v>1800</v>
      </c>
      <c r="I213" s="1" t="s">
        <v>769</v>
      </c>
      <c r="J213" s="1" t="s">
        <v>770</v>
      </c>
    </row>
    <row r="214" spans="1:10" x14ac:dyDescent="0.3">
      <c r="A214" s="1" t="s">
        <v>771</v>
      </c>
      <c r="B214" s="2" t="s">
        <v>772</v>
      </c>
      <c r="C214" s="1" t="s">
        <v>773</v>
      </c>
      <c r="D214" s="1" t="s">
        <v>445</v>
      </c>
      <c r="E214" s="1" t="s">
        <v>363</v>
      </c>
      <c r="F214" s="1">
        <v>10</v>
      </c>
      <c r="G214" s="1">
        <v>3399</v>
      </c>
      <c r="H214" s="1">
        <v>2400</v>
      </c>
      <c r="I214" s="1" t="s">
        <v>364</v>
      </c>
      <c r="J214" s="1" t="s">
        <v>411</v>
      </c>
    </row>
    <row r="215" spans="1:10" x14ac:dyDescent="0.3">
      <c r="A215" s="1" t="s">
        <v>266</v>
      </c>
      <c r="B215" s="1">
        <v>45930</v>
      </c>
      <c r="C215" s="1" t="s">
        <v>774</v>
      </c>
      <c r="D215" s="1" t="s">
        <v>457</v>
      </c>
      <c r="E215" s="1" t="s">
        <v>775</v>
      </c>
      <c r="F215" s="1">
        <v>10</v>
      </c>
      <c r="G215" s="1">
        <v>2099</v>
      </c>
      <c r="H215" s="1">
        <v>1200</v>
      </c>
      <c r="I215" s="1" t="s">
        <v>551</v>
      </c>
      <c r="J215" s="1" t="s">
        <v>552</v>
      </c>
    </row>
    <row r="216" spans="1:10" x14ac:dyDescent="0.3">
      <c r="A216" s="1" t="s">
        <v>776</v>
      </c>
      <c r="B216" s="2" t="s">
        <v>777</v>
      </c>
      <c r="C216" s="1" t="s">
        <v>747</v>
      </c>
      <c r="D216" s="1" t="s">
        <v>141</v>
      </c>
      <c r="E216" s="1" t="s">
        <v>436</v>
      </c>
      <c r="F216" s="1">
        <v>8</v>
      </c>
      <c r="G216" s="1">
        <v>16199</v>
      </c>
      <c r="H216" s="1"/>
      <c r="I216" s="1" t="s">
        <v>334</v>
      </c>
      <c r="J216" s="1" t="s">
        <v>491</v>
      </c>
    </row>
    <row r="217" spans="1:10" x14ac:dyDescent="0.3">
      <c r="A217" s="1" t="s">
        <v>297</v>
      </c>
      <c r="B217" s="1">
        <v>45933</v>
      </c>
      <c r="C217" s="1" t="s">
        <v>51</v>
      </c>
      <c r="D217" s="1" t="s">
        <v>31</v>
      </c>
      <c r="E217" s="1" t="s">
        <v>32</v>
      </c>
      <c r="F217" s="1">
        <v>4</v>
      </c>
      <c r="G217" s="1">
        <v>3099</v>
      </c>
      <c r="H217" s="1">
        <v>1800</v>
      </c>
      <c r="I217" s="1" t="s">
        <v>14</v>
      </c>
      <c r="J217" s="1" t="s">
        <v>47</v>
      </c>
    </row>
    <row r="218" spans="1:10" x14ac:dyDescent="0.3">
      <c r="A218" s="1" t="s">
        <v>138</v>
      </c>
      <c r="B218" s="2" t="s">
        <v>778</v>
      </c>
      <c r="C218" s="1" t="s">
        <v>65</v>
      </c>
      <c r="D218" s="1" t="s">
        <v>12</v>
      </c>
      <c r="E218" s="1" t="s">
        <v>340</v>
      </c>
      <c r="F218" s="1">
        <v>10</v>
      </c>
      <c r="G218" s="1">
        <v>5599</v>
      </c>
      <c r="H218" s="1">
        <v>3800</v>
      </c>
      <c r="I218" s="1" t="s">
        <v>19</v>
      </c>
      <c r="J218" s="1"/>
    </row>
    <row r="219" spans="1:10" x14ac:dyDescent="0.3">
      <c r="A219" s="1" t="s">
        <v>154</v>
      </c>
      <c r="B219" s="2" t="s">
        <v>779</v>
      </c>
      <c r="C219" s="1" t="s">
        <v>91</v>
      </c>
      <c r="D219" s="1" t="s">
        <v>38</v>
      </c>
      <c r="E219" s="1" t="s">
        <v>18</v>
      </c>
      <c r="F219" s="1">
        <v>1</v>
      </c>
      <c r="G219" s="1"/>
      <c r="H219" s="1">
        <v>500</v>
      </c>
      <c r="I219" s="1" t="s">
        <v>19</v>
      </c>
      <c r="J219" s="1" t="s">
        <v>55</v>
      </c>
    </row>
    <row r="220" spans="1:10" x14ac:dyDescent="0.3">
      <c r="A220" s="1" t="s">
        <v>285</v>
      </c>
      <c r="B220" s="1">
        <v>45935</v>
      </c>
      <c r="C220" s="1" t="s">
        <v>91</v>
      </c>
      <c r="D220" s="1" t="s">
        <v>38</v>
      </c>
      <c r="E220" s="1" t="s">
        <v>23</v>
      </c>
      <c r="F220" s="1">
        <v>10</v>
      </c>
      <c r="G220" s="1">
        <v>899</v>
      </c>
      <c r="H220" s="1">
        <v>500</v>
      </c>
      <c r="I220" s="1" t="s">
        <v>33</v>
      </c>
      <c r="J220" s="1" t="s">
        <v>52</v>
      </c>
    </row>
    <row r="221" spans="1:10" x14ac:dyDescent="0.3">
      <c r="A221" s="1" t="s">
        <v>780</v>
      </c>
      <c r="B221" s="2" t="s">
        <v>781</v>
      </c>
      <c r="C221" s="1" t="s">
        <v>689</v>
      </c>
      <c r="D221" s="1" t="s">
        <v>339</v>
      </c>
      <c r="E221" s="1" t="s">
        <v>340</v>
      </c>
      <c r="F221" s="1"/>
      <c r="G221" s="1">
        <v>8999</v>
      </c>
      <c r="H221" s="1">
        <v>7000</v>
      </c>
      <c r="I221" s="1" t="s">
        <v>334</v>
      </c>
      <c r="J221" s="1" t="s">
        <v>335</v>
      </c>
    </row>
    <row r="222" spans="1:10" x14ac:dyDescent="0.3">
      <c r="A222" s="1">
        <v>51142</v>
      </c>
      <c r="B222" s="2" t="s">
        <v>782</v>
      </c>
      <c r="C222" s="1" t="s">
        <v>382</v>
      </c>
      <c r="D222" s="1" t="s">
        <v>383</v>
      </c>
      <c r="E222" s="1" t="s">
        <v>440</v>
      </c>
      <c r="F222" s="1">
        <v>2</v>
      </c>
      <c r="G222" s="1">
        <v>3099</v>
      </c>
      <c r="H222" s="2" t="s">
        <v>783</v>
      </c>
      <c r="I222" s="1" t="s">
        <v>348</v>
      </c>
      <c r="J222" s="1" t="s">
        <v>465</v>
      </c>
    </row>
    <row r="223" spans="1:10" x14ac:dyDescent="0.3">
      <c r="A223" s="1" t="s">
        <v>784</v>
      </c>
      <c r="B223" s="1">
        <v>45936</v>
      </c>
      <c r="C223" s="1" t="s">
        <v>785</v>
      </c>
      <c r="D223" s="1" t="s">
        <v>141</v>
      </c>
      <c r="E223" s="1" t="s">
        <v>436</v>
      </c>
      <c r="F223" s="1">
        <v>9</v>
      </c>
      <c r="G223" s="1">
        <v>1799</v>
      </c>
      <c r="H223" s="1">
        <v>1200</v>
      </c>
      <c r="I223" s="1" t="s">
        <v>593</v>
      </c>
      <c r="J223" s="1" t="s">
        <v>15</v>
      </c>
    </row>
    <row r="224" spans="1:10" x14ac:dyDescent="0.3">
      <c r="A224" s="1" t="s">
        <v>277</v>
      </c>
      <c r="B224" s="1">
        <v>45936</v>
      </c>
      <c r="C224" s="1" t="s">
        <v>44</v>
      </c>
      <c r="D224" s="1" t="s">
        <v>31</v>
      </c>
      <c r="E224" s="1" t="s">
        <v>23</v>
      </c>
      <c r="F224" s="1">
        <v>9</v>
      </c>
      <c r="G224" s="1">
        <v>12799</v>
      </c>
      <c r="H224" s="1">
        <v>10800</v>
      </c>
      <c r="I224" s="1" t="s">
        <v>24</v>
      </c>
      <c r="J224" s="1" t="s">
        <v>370</v>
      </c>
    </row>
    <row r="225" spans="1:10" x14ac:dyDescent="0.3">
      <c r="A225" s="1" t="s">
        <v>326</v>
      </c>
      <c r="B225" s="2" t="s">
        <v>786</v>
      </c>
      <c r="C225" s="1" t="s">
        <v>30</v>
      </c>
      <c r="D225" s="1" t="s">
        <v>31</v>
      </c>
      <c r="E225" s="1" t="s">
        <v>23</v>
      </c>
      <c r="F225" s="1">
        <v>8</v>
      </c>
      <c r="G225" s="2" t="s">
        <v>787</v>
      </c>
      <c r="H225" s="1">
        <v>13500</v>
      </c>
      <c r="I225" s="1" t="s">
        <v>19</v>
      </c>
      <c r="J225" s="1" t="s">
        <v>370</v>
      </c>
    </row>
    <row r="226" spans="1:10" x14ac:dyDescent="0.3">
      <c r="A226" s="1" t="s">
        <v>304</v>
      </c>
      <c r="B226" s="2" t="s">
        <v>788</v>
      </c>
      <c r="C226" s="1" t="s">
        <v>484</v>
      </c>
      <c r="D226" s="1" t="s">
        <v>485</v>
      </c>
      <c r="E226" s="1" t="s">
        <v>40</v>
      </c>
      <c r="F226" s="1">
        <v>8</v>
      </c>
      <c r="G226" s="1">
        <v>249</v>
      </c>
      <c r="H226" s="1">
        <v>90</v>
      </c>
      <c r="I226" s="1" t="s">
        <v>679</v>
      </c>
      <c r="J226" s="1" t="s">
        <v>487</v>
      </c>
    </row>
    <row r="227" spans="1:10" x14ac:dyDescent="0.3">
      <c r="A227" s="1" t="s">
        <v>789</v>
      </c>
      <c r="B227" s="1">
        <v>45941</v>
      </c>
      <c r="C227" s="1" t="s">
        <v>790</v>
      </c>
      <c r="D227" s="1" t="s">
        <v>445</v>
      </c>
      <c r="E227" s="1" t="s">
        <v>590</v>
      </c>
      <c r="F227" s="2" t="s">
        <v>650</v>
      </c>
      <c r="G227" s="1">
        <v>13199</v>
      </c>
      <c r="H227" s="1">
        <v>10800</v>
      </c>
      <c r="I227" s="1" t="s">
        <v>410</v>
      </c>
      <c r="J227" s="1" t="s">
        <v>411</v>
      </c>
    </row>
    <row r="228" spans="1:10" x14ac:dyDescent="0.3">
      <c r="A228" s="1"/>
      <c r="B228" s="2" t="s">
        <v>791</v>
      </c>
      <c r="C228" s="1" t="s">
        <v>44</v>
      </c>
      <c r="D228" s="1" t="s">
        <v>31</v>
      </c>
      <c r="E228" s="1" t="s">
        <v>18</v>
      </c>
      <c r="F228" s="1">
        <v>9</v>
      </c>
      <c r="G228" s="1">
        <v>12899</v>
      </c>
      <c r="H228" s="1">
        <v>10800</v>
      </c>
      <c r="I228" s="1" t="s">
        <v>19</v>
      </c>
      <c r="J228" s="1" t="s">
        <v>370</v>
      </c>
    </row>
    <row r="229" spans="1:10" x14ac:dyDescent="0.3">
      <c r="A229" s="1" t="s">
        <v>145</v>
      </c>
      <c r="B229" s="1">
        <v>45945</v>
      </c>
      <c r="C229" s="1" t="s">
        <v>54</v>
      </c>
      <c r="D229" s="1" t="s">
        <v>146</v>
      </c>
      <c r="E229" s="1" t="s">
        <v>28</v>
      </c>
      <c r="F229" s="1">
        <v>9</v>
      </c>
      <c r="G229" s="1">
        <v>399</v>
      </c>
      <c r="H229" s="2" t="s">
        <v>792</v>
      </c>
      <c r="I229" s="1" t="s">
        <v>19</v>
      </c>
      <c r="J229" s="1" t="s">
        <v>55</v>
      </c>
    </row>
    <row r="230" spans="1:10" x14ac:dyDescent="0.3">
      <c r="A230" s="1" t="s">
        <v>793</v>
      </c>
      <c r="B230" s="2" t="s">
        <v>794</v>
      </c>
      <c r="C230" s="1" t="s">
        <v>760</v>
      </c>
      <c r="D230" s="1" t="s">
        <v>339</v>
      </c>
      <c r="E230" s="1" t="s">
        <v>340</v>
      </c>
      <c r="F230" s="1">
        <v>4</v>
      </c>
      <c r="G230" s="1">
        <v>3299</v>
      </c>
      <c r="H230" s="1">
        <v>2500</v>
      </c>
      <c r="I230" s="1" t="s">
        <v>334</v>
      </c>
      <c r="J230" s="1" t="s">
        <v>370</v>
      </c>
    </row>
    <row r="231" spans="1:10" x14ac:dyDescent="0.3">
      <c r="A231" s="1" t="s">
        <v>795</v>
      </c>
      <c r="B231" s="2" t="s">
        <v>796</v>
      </c>
      <c r="C231" s="1" t="s">
        <v>797</v>
      </c>
      <c r="D231" s="1" t="s">
        <v>631</v>
      </c>
      <c r="E231" s="1" t="s">
        <v>347</v>
      </c>
      <c r="F231" s="1">
        <v>10</v>
      </c>
      <c r="G231" s="1">
        <v>3099</v>
      </c>
      <c r="H231" s="2" t="s">
        <v>385</v>
      </c>
      <c r="I231" s="1" t="s">
        <v>500</v>
      </c>
      <c r="J231" s="1" t="s">
        <v>798</v>
      </c>
    </row>
    <row r="232" spans="1:10" x14ac:dyDescent="0.3">
      <c r="A232" s="1" t="s">
        <v>185</v>
      </c>
      <c r="B232" s="1">
        <v>45953</v>
      </c>
      <c r="C232" s="1" t="s">
        <v>16</v>
      </c>
      <c r="D232" s="1" t="s">
        <v>17</v>
      </c>
      <c r="E232" s="1" t="s">
        <v>40</v>
      </c>
      <c r="F232" s="1">
        <v>10</v>
      </c>
      <c r="G232" s="2" t="s">
        <v>799</v>
      </c>
      <c r="H232" s="1">
        <v>2500</v>
      </c>
      <c r="I232" s="1" t="s">
        <v>19</v>
      </c>
      <c r="J232" s="1" t="s">
        <v>15</v>
      </c>
    </row>
    <row r="233" spans="1:10" x14ac:dyDescent="0.3">
      <c r="A233" s="1" t="s">
        <v>203</v>
      </c>
      <c r="B233" s="1">
        <v>45953</v>
      </c>
      <c r="C233" s="1" t="s">
        <v>30</v>
      </c>
      <c r="D233" s="1" t="s">
        <v>31</v>
      </c>
      <c r="E233" s="1" t="s">
        <v>13</v>
      </c>
      <c r="F233" s="1">
        <v>5</v>
      </c>
      <c r="G233" s="1">
        <v>16199</v>
      </c>
      <c r="H233" s="1">
        <v>13500</v>
      </c>
      <c r="I233" s="1" t="s">
        <v>33</v>
      </c>
      <c r="J233" s="1" t="s">
        <v>52</v>
      </c>
    </row>
    <row r="234" spans="1:10" x14ac:dyDescent="0.3">
      <c r="A234" s="1">
        <v>77924</v>
      </c>
      <c r="B234" s="2" t="s">
        <v>800</v>
      </c>
      <c r="C234" s="1" t="s">
        <v>49</v>
      </c>
      <c r="D234" s="1" t="s">
        <v>22</v>
      </c>
      <c r="E234" s="1" t="s">
        <v>18</v>
      </c>
      <c r="F234" s="1">
        <v>5</v>
      </c>
      <c r="G234" s="2" t="s">
        <v>801</v>
      </c>
      <c r="H234" s="1">
        <v>1400</v>
      </c>
      <c r="I234" s="1" t="s">
        <v>41</v>
      </c>
      <c r="J234" s="1" t="s">
        <v>15</v>
      </c>
    </row>
    <row r="235" spans="1:10" x14ac:dyDescent="0.3">
      <c r="A235" s="1" t="s">
        <v>299</v>
      </c>
      <c r="B235" s="1">
        <v>45956</v>
      </c>
      <c r="C235" s="1" t="s">
        <v>30</v>
      </c>
      <c r="D235" s="1" t="s">
        <v>31</v>
      </c>
      <c r="E235" s="1" t="s">
        <v>340</v>
      </c>
      <c r="F235" s="1">
        <v>1</v>
      </c>
      <c r="G235" s="1">
        <v>15899</v>
      </c>
      <c r="H235" s="1">
        <v>13500</v>
      </c>
      <c r="I235" s="1" t="s">
        <v>41</v>
      </c>
      <c r="J235" s="1" t="s">
        <v>52</v>
      </c>
    </row>
    <row r="236" spans="1:10" x14ac:dyDescent="0.3">
      <c r="A236" s="1" t="s">
        <v>802</v>
      </c>
      <c r="B236" s="2" t="s">
        <v>803</v>
      </c>
      <c r="C236" s="1" t="s">
        <v>571</v>
      </c>
      <c r="D236" s="1" t="s">
        <v>454</v>
      </c>
      <c r="E236" s="1" t="s">
        <v>368</v>
      </c>
      <c r="F236" s="1">
        <v>7</v>
      </c>
      <c r="G236" s="1">
        <v>2699</v>
      </c>
      <c r="H236" s="1">
        <v>1400</v>
      </c>
      <c r="I236" s="1" t="s">
        <v>420</v>
      </c>
      <c r="J236" s="1" t="s">
        <v>376</v>
      </c>
    </row>
    <row r="237" spans="1:10" x14ac:dyDescent="0.3">
      <c r="A237" s="1" t="s">
        <v>179</v>
      </c>
      <c r="B237" s="2" t="s">
        <v>804</v>
      </c>
      <c r="C237" s="1" t="s">
        <v>733</v>
      </c>
      <c r="D237" s="1" t="s">
        <v>457</v>
      </c>
      <c r="E237" s="1" t="s">
        <v>775</v>
      </c>
      <c r="F237" s="1">
        <v>6</v>
      </c>
      <c r="G237" s="1">
        <v>2999</v>
      </c>
      <c r="H237" s="1">
        <v>1800</v>
      </c>
      <c r="I237" s="1" t="s">
        <v>528</v>
      </c>
      <c r="J237" s="1" t="s">
        <v>34</v>
      </c>
    </row>
    <row r="238" spans="1:10" x14ac:dyDescent="0.3">
      <c r="A238" s="1" t="s">
        <v>99</v>
      </c>
      <c r="B238" s="2" t="s">
        <v>805</v>
      </c>
      <c r="C238" s="1" t="s">
        <v>11</v>
      </c>
      <c r="D238" s="1" t="s">
        <v>12</v>
      </c>
      <c r="E238" s="1" t="s">
        <v>13</v>
      </c>
      <c r="F238" s="1">
        <v>9</v>
      </c>
      <c r="G238" s="1">
        <v>6999</v>
      </c>
      <c r="H238" s="1">
        <v>5000</v>
      </c>
      <c r="I238" s="1" t="s">
        <v>19</v>
      </c>
      <c r="J238" s="1" t="s">
        <v>15</v>
      </c>
    </row>
    <row r="239" spans="1:10" x14ac:dyDescent="0.3">
      <c r="A239" s="1" t="s">
        <v>259</v>
      </c>
      <c r="B239" s="1">
        <v>45962</v>
      </c>
      <c r="C239" s="1" t="s">
        <v>11</v>
      </c>
      <c r="D239" s="1" t="s">
        <v>12</v>
      </c>
      <c r="E239" s="1" t="s">
        <v>18</v>
      </c>
      <c r="F239" s="1">
        <v>5</v>
      </c>
      <c r="G239" s="1">
        <v>6799</v>
      </c>
      <c r="H239" s="2" t="s">
        <v>359</v>
      </c>
      <c r="I239" s="1" t="s">
        <v>19</v>
      </c>
      <c r="J239" s="1" t="s">
        <v>55</v>
      </c>
    </row>
    <row r="240" spans="1:10" x14ac:dyDescent="0.3">
      <c r="A240" s="1" t="s">
        <v>806</v>
      </c>
      <c r="B240" s="2" t="s">
        <v>807</v>
      </c>
      <c r="C240" s="1" t="s">
        <v>808</v>
      </c>
      <c r="D240" s="1" t="s">
        <v>809</v>
      </c>
      <c r="E240" s="1" t="s">
        <v>810</v>
      </c>
      <c r="F240" s="1">
        <v>9</v>
      </c>
      <c r="G240" s="1">
        <v>99</v>
      </c>
      <c r="H240" s="1">
        <v>120</v>
      </c>
      <c r="I240" s="1" t="s">
        <v>811</v>
      </c>
      <c r="J240" s="1" t="s">
        <v>812</v>
      </c>
    </row>
    <row r="241" spans="1:10" x14ac:dyDescent="0.3">
      <c r="A241" s="1" t="s">
        <v>813</v>
      </c>
      <c r="B241" s="2" t="s">
        <v>814</v>
      </c>
      <c r="C241" s="1" t="s">
        <v>731</v>
      </c>
      <c r="D241" s="1" t="s">
        <v>454</v>
      </c>
      <c r="E241" s="1" t="s">
        <v>436</v>
      </c>
      <c r="F241" s="1">
        <v>8</v>
      </c>
      <c r="G241" s="1">
        <v>899</v>
      </c>
      <c r="H241" s="1">
        <v>350</v>
      </c>
      <c r="I241" s="1"/>
      <c r="J241" s="1" t="s">
        <v>405</v>
      </c>
    </row>
    <row r="242" spans="1:10" x14ac:dyDescent="0.3">
      <c r="A242" s="1" t="s">
        <v>320</v>
      </c>
      <c r="B242" s="2" t="s">
        <v>815</v>
      </c>
      <c r="C242" s="1" t="s">
        <v>74</v>
      </c>
      <c r="D242" s="1" t="s">
        <v>31</v>
      </c>
      <c r="E242" s="1" t="s">
        <v>32</v>
      </c>
      <c r="F242" s="1">
        <v>4</v>
      </c>
      <c r="G242" s="2" t="s">
        <v>816</v>
      </c>
      <c r="H242" s="1">
        <v>1200</v>
      </c>
      <c r="I242" s="1" t="s">
        <v>19</v>
      </c>
      <c r="J242" s="1" t="s">
        <v>34</v>
      </c>
    </row>
    <row r="243" spans="1:10" x14ac:dyDescent="0.3">
      <c r="A243" s="1" t="s">
        <v>144</v>
      </c>
      <c r="B243" s="2" t="s">
        <v>817</v>
      </c>
      <c r="C243" s="1" t="s">
        <v>91</v>
      </c>
      <c r="D243" s="1" t="s">
        <v>38</v>
      </c>
      <c r="E243" s="1" t="s">
        <v>40</v>
      </c>
      <c r="F243" s="1">
        <v>9</v>
      </c>
      <c r="G243" s="1">
        <v>1099</v>
      </c>
      <c r="H243" s="1">
        <v>500</v>
      </c>
      <c r="I243" s="1" t="s">
        <v>24</v>
      </c>
      <c r="J243" s="1" t="s">
        <v>370</v>
      </c>
    </row>
    <row r="244" spans="1:10" x14ac:dyDescent="0.3">
      <c r="A244" s="1" t="s">
        <v>818</v>
      </c>
      <c r="B244" s="1">
        <v>45967</v>
      </c>
      <c r="C244" s="1" t="s">
        <v>575</v>
      </c>
      <c r="D244" s="1" t="s">
        <v>141</v>
      </c>
      <c r="E244" s="1" t="s">
        <v>436</v>
      </c>
      <c r="F244" s="2" t="s">
        <v>762</v>
      </c>
      <c r="G244" s="1">
        <v>3499</v>
      </c>
      <c r="H244" s="1">
        <v>2400</v>
      </c>
      <c r="I244" s="1" t="s">
        <v>334</v>
      </c>
      <c r="J244" s="1" t="s">
        <v>491</v>
      </c>
    </row>
    <row r="245" spans="1:10" x14ac:dyDescent="0.3">
      <c r="A245" s="1" t="s">
        <v>818</v>
      </c>
      <c r="B245" s="1">
        <v>45967</v>
      </c>
      <c r="C245" s="1" t="s">
        <v>575</v>
      </c>
      <c r="D245" s="1" t="s">
        <v>141</v>
      </c>
      <c r="E245" s="1" t="s">
        <v>436</v>
      </c>
      <c r="F245" s="2" t="s">
        <v>762</v>
      </c>
      <c r="G245" s="1">
        <v>3499</v>
      </c>
      <c r="H245" s="1">
        <v>2400</v>
      </c>
      <c r="I245" s="1" t="s">
        <v>334</v>
      </c>
      <c r="J245" s="1" t="s">
        <v>491</v>
      </c>
    </row>
    <row r="246" spans="1:10" x14ac:dyDescent="0.3">
      <c r="A246" s="1" t="s">
        <v>128</v>
      </c>
      <c r="B246" s="1">
        <v>45968</v>
      </c>
      <c r="C246" s="1" t="s">
        <v>54</v>
      </c>
      <c r="D246" s="1" t="s">
        <v>27</v>
      </c>
      <c r="E246" s="1" t="s">
        <v>40</v>
      </c>
      <c r="F246" s="1">
        <v>8</v>
      </c>
      <c r="G246" s="1">
        <v>499</v>
      </c>
      <c r="H246" s="1">
        <v>180</v>
      </c>
      <c r="I246" s="1" t="s">
        <v>24</v>
      </c>
      <c r="J246" s="1" t="s">
        <v>34</v>
      </c>
    </row>
    <row r="247" spans="1:10" x14ac:dyDescent="0.3">
      <c r="A247" s="1">
        <v>44392</v>
      </c>
      <c r="B247" s="2" t="s">
        <v>819</v>
      </c>
      <c r="C247" s="1" t="s">
        <v>731</v>
      </c>
      <c r="D247" s="1" t="s">
        <v>454</v>
      </c>
      <c r="E247" s="1" t="s">
        <v>340</v>
      </c>
      <c r="F247" s="1">
        <v>7</v>
      </c>
      <c r="G247" s="1">
        <v>599</v>
      </c>
      <c r="H247" s="1">
        <v>350</v>
      </c>
      <c r="I247" s="1" t="s">
        <v>334</v>
      </c>
      <c r="J247" s="1" t="s">
        <v>405</v>
      </c>
    </row>
    <row r="248" spans="1:10" x14ac:dyDescent="0.3">
      <c r="A248" s="1" t="s">
        <v>114</v>
      </c>
      <c r="B248" s="1">
        <v>45969</v>
      </c>
      <c r="C248" s="1" t="s">
        <v>37</v>
      </c>
      <c r="D248" s="1" t="s">
        <v>38</v>
      </c>
      <c r="E248" s="1" t="s">
        <v>13</v>
      </c>
      <c r="F248" s="1">
        <v>2</v>
      </c>
      <c r="G248" s="1">
        <v>349</v>
      </c>
      <c r="H248" s="1">
        <v>90</v>
      </c>
      <c r="I248" s="1" t="s">
        <v>24</v>
      </c>
      <c r="J248" s="1" t="s">
        <v>34</v>
      </c>
    </row>
    <row r="249" spans="1:10" x14ac:dyDescent="0.3">
      <c r="A249" s="1" t="s">
        <v>113</v>
      </c>
      <c r="B249" s="1">
        <v>45970</v>
      </c>
      <c r="C249" s="1" t="s">
        <v>428</v>
      </c>
      <c r="D249" s="1" t="s">
        <v>429</v>
      </c>
      <c r="E249" s="1" t="s">
        <v>623</v>
      </c>
      <c r="F249" s="1">
        <v>10</v>
      </c>
      <c r="G249" s="1">
        <v>8799</v>
      </c>
      <c r="H249" s="2" t="s">
        <v>431</v>
      </c>
      <c r="I249" s="1" t="s">
        <v>551</v>
      </c>
      <c r="J249" s="1" t="s">
        <v>487</v>
      </c>
    </row>
    <row r="250" spans="1:10" x14ac:dyDescent="0.3">
      <c r="A250" s="1" t="s">
        <v>820</v>
      </c>
      <c r="B250" s="2" t="s">
        <v>821</v>
      </c>
      <c r="C250" s="1" t="s">
        <v>822</v>
      </c>
      <c r="D250" s="1" t="s">
        <v>383</v>
      </c>
      <c r="E250" s="1" t="s">
        <v>347</v>
      </c>
      <c r="F250" s="1">
        <v>1</v>
      </c>
      <c r="G250" s="1">
        <v>1899</v>
      </c>
      <c r="H250" s="1">
        <v>1200</v>
      </c>
      <c r="I250" s="1" t="s">
        <v>416</v>
      </c>
      <c r="J250" s="1" t="s">
        <v>387</v>
      </c>
    </row>
    <row r="251" spans="1:10" x14ac:dyDescent="0.3">
      <c r="A251" s="1" t="s">
        <v>193</v>
      </c>
      <c r="B251" s="2" t="s">
        <v>823</v>
      </c>
      <c r="C251" s="1" t="s">
        <v>30</v>
      </c>
      <c r="D251" s="1" t="s">
        <v>31</v>
      </c>
      <c r="E251" s="1" t="s">
        <v>40</v>
      </c>
      <c r="F251" s="1">
        <v>6</v>
      </c>
      <c r="G251" s="1">
        <v>16099</v>
      </c>
      <c r="H251" s="1">
        <v>13500</v>
      </c>
      <c r="I251" s="1" t="s">
        <v>19</v>
      </c>
      <c r="J251" s="1" t="s">
        <v>370</v>
      </c>
    </row>
    <row r="252" spans="1:10" x14ac:dyDescent="0.3">
      <c r="A252" s="1" t="s">
        <v>824</v>
      </c>
      <c r="B252" s="2" t="s">
        <v>825</v>
      </c>
      <c r="C252" s="1" t="s">
        <v>393</v>
      </c>
      <c r="D252" s="1" t="s">
        <v>394</v>
      </c>
      <c r="E252" s="1" t="s">
        <v>404</v>
      </c>
      <c r="F252" s="1">
        <v>3</v>
      </c>
      <c r="G252" s="2" t="s">
        <v>826</v>
      </c>
      <c r="H252" s="1">
        <v>5000</v>
      </c>
      <c r="I252" s="1" t="s">
        <v>334</v>
      </c>
      <c r="J252" s="1" t="s">
        <v>15</v>
      </c>
    </row>
    <row r="253" spans="1:10" x14ac:dyDescent="0.3">
      <c r="A253" s="1" t="s">
        <v>77</v>
      </c>
      <c r="B253" s="2" t="s">
        <v>827</v>
      </c>
      <c r="C253" s="1" t="s">
        <v>44</v>
      </c>
      <c r="D253" s="1" t="s">
        <v>31</v>
      </c>
      <c r="E253" s="1"/>
      <c r="F253" s="1">
        <v>5</v>
      </c>
      <c r="G253" s="1">
        <v>13199</v>
      </c>
      <c r="H253" s="1">
        <v>10800</v>
      </c>
      <c r="I253" s="1" t="s">
        <v>19</v>
      </c>
      <c r="J253" s="1" t="s">
        <v>47</v>
      </c>
    </row>
    <row r="254" spans="1:10" x14ac:dyDescent="0.3">
      <c r="A254" s="1" t="s">
        <v>828</v>
      </c>
      <c r="B254" s="1">
        <v>45981</v>
      </c>
      <c r="C254" s="1" t="s">
        <v>702</v>
      </c>
      <c r="D254" s="1" t="s">
        <v>703</v>
      </c>
      <c r="E254" s="1" t="s">
        <v>590</v>
      </c>
      <c r="F254" s="1">
        <v>7</v>
      </c>
      <c r="G254" s="1">
        <v>349</v>
      </c>
      <c r="H254" s="1">
        <v>90</v>
      </c>
      <c r="I254" s="1" t="s">
        <v>829</v>
      </c>
      <c r="J254" s="1" t="s">
        <v>365</v>
      </c>
    </row>
    <row r="255" spans="1:10" x14ac:dyDescent="0.3">
      <c r="A255" s="1" t="s">
        <v>269</v>
      </c>
      <c r="B255" s="2" t="s">
        <v>830</v>
      </c>
      <c r="C255" s="1" t="s">
        <v>11</v>
      </c>
      <c r="D255" s="1" t="s">
        <v>12</v>
      </c>
      <c r="E255" s="1" t="s">
        <v>13</v>
      </c>
      <c r="F255" s="1">
        <v>3</v>
      </c>
      <c r="G255" s="1">
        <v>7099</v>
      </c>
      <c r="H255" s="2" t="s">
        <v>831</v>
      </c>
      <c r="I255" s="1" t="s">
        <v>14</v>
      </c>
      <c r="J255" s="1" t="s">
        <v>26</v>
      </c>
    </row>
    <row r="256" spans="1:10" x14ac:dyDescent="0.3">
      <c r="A256" s="1" t="s">
        <v>205</v>
      </c>
      <c r="B256" s="2" t="s">
        <v>832</v>
      </c>
      <c r="C256" s="1" t="s">
        <v>37</v>
      </c>
      <c r="D256" s="1" t="s">
        <v>38</v>
      </c>
      <c r="E256" s="1" t="s">
        <v>18</v>
      </c>
      <c r="F256" s="1">
        <v>5</v>
      </c>
      <c r="G256" s="1">
        <v>49</v>
      </c>
      <c r="H256" s="1">
        <v>90</v>
      </c>
      <c r="I256" s="1" t="s">
        <v>19</v>
      </c>
      <c r="J256" s="1" t="s">
        <v>370</v>
      </c>
    </row>
    <row r="257" spans="1:10" x14ac:dyDescent="0.3">
      <c r="A257" s="1" t="s">
        <v>833</v>
      </c>
      <c r="B257" s="2" t="s">
        <v>834</v>
      </c>
      <c r="C257" s="1" t="s">
        <v>373</v>
      </c>
      <c r="D257" s="1" t="s">
        <v>374</v>
      </c>
      <c r="E257" s="1" t="s">
        <v>436</v>
      </c>
      <c r="F257" s="1">
        <v>7</v>
      </c>
      <c r="G257" s="1">
        <v>449</v>
      </c>
      <c r="H257" s="2" t="s">
        <v>503</v>
      </c>
      <c r="I257" s="1" t="s">
        <v>334</v>
      </c>
      <c r="J257" s="1" t="s">
        <v>15</v>
      </c>
    </row>
    <row r="258" spans="1:10" x14ac:dyDescent="0.3">
      <c r="A258" s="1" t="s">
        <v>191</v>
      </c>
      <c r="B258" s="1">
        <v>45986</v>
      </c>
      <c r="C258" s="1" t="s">
        <v>60</v>
      </c>
      <c r="D258" s="1" t="s">
        <v>31</v>
      </c>
      <c r="E258" s="1" t="s">
        <v>40</v>
      </c>
      <c r="F258" s="1">
        <v>1</v>
      </c>
      <c r="G258" s="2" t="s">
        <v>835</v>
      </c>
      <c r="H258" s="1">
        <v>2400</v>
      </c>
      <c r="I258" s="1" t="s">
        <v>24</v>
      </c>
      <c r="J258" s="1" t="s">
        <v>34</v>
      </c>
    </row>
    <row r="259" spans="1:10" x14ac:dyDescent="0.3">
      <c r="A259" s="1">
        <v>68060</v>
      </c>
      <c r="B259" s="2" t="s">
        <v>836</v>
      </c>
      <c r="C259" s="1" t="s">
        <v>630</v>
      </c>
      <c r="D259" s="1" t="s">
        <v>631</v>
      </c>
      <c r="E259" s="1" t="s">
        <v>632</v>
      </c>
      <c r="F259" s="1">
        <v>9</v>
      </c>
      <c r="G259" s="1">
        <v>2199</v>
      </c>
      <c r="H259" s="1">
        <v>1200</v>
      </c>
      <c r="I259" s="1" t="s">
        <v>633</v>
      </c>
      <c r="J259" s="1" t="s">
        <v>465</v>
      </c>
    </row>
    <row r="260" spans="1:10" x14ac:dyDescent="0.3">
      <c r="A260" s="1" t="s">
        <v>275</v>
      </c>
      <c r="B260" s="1">
        <v>45989</v>
      </c>
      <c r="C260" s="1" t="s">
        <v>622</v>
      </c>
      <c r="D260" s="1" t="s">
        <v>485</v>
      </c>
      <c r="E260" s="1" t="s">
        <v>775</v>
      </c>
      <c r="F260" s="1">
        <v>7</v>
      </c>
      <c r="G260" s="2" t="s">
        <v>837</v>
      </c>
      <c r="H260" s="1"/>
      <c r="I260" s="1" t="s">
        <v>679</v>
      </c>
      <c r="J260" s="1" t="s">
        <v>34</v>
      </c>
    </row>
    <row r="261" spans="1:10" x14ac:dyDescent="0.3">
      <c r="A261" s="1" t="s">
        <v>302</v>
      </c>
      <c r="B261" s="1">
        <v>45990</v>
      </c>
      <c r="C261" s="1" t="s">
        <v>37</v>
      </c>
      <c r="D261" s="1" t="s">
        <v>38</v>
      </c>
      <c r="E261" s="1" t="s">
        <v>13</v>
      </c>
      <c r="F261" s="1">
        <v>4</v>
      </c>
      <c r="G261" s="1">
        <v>149</v>
      </c>
      <c r="H261" s="1">
        <v>90</v>
      </c>
      <c r="I261" s="1" t="s">
        <v>33</v>
      </c>
      <c r="J261" s="1" t="s">
        <v>370</v>
      </c>
    </row>
    <row r="262" spans="1:10" x14ac:dyDescent="0.3">
      <c r="A262" s="1" t="s">
        <v>838</v>
      </c>
      <c r="B262" s="2" t="s">
        <v>839</v>
      </c>
      <c r="C262" s="1" t="s">
        <v>352</v>
      </c>
      <c r="D262" s="1" t="s">
        <v>141</v>
      </c>
      <c r="E262" s="1" t="s">
        <v>368</v>
      </c>
      <c r="F262" s="2" t="s">
        <v>840</v>
      </c>
      <c r="G262" s="1">
        <v>12799</v>
      </c>
      <c r="H262" s="1">
        <v>10800</v>
      </c>
      <c r="I262" s="1" t="s">
        <v>396</v>
      </c>
      <c r="J262" s="1" t="s">
        <v>841</v>
      </c>
    </row>
    <row r="263" spans="1:10" x14ac:dyDescent="0.3">
      <c r="A263" s="1" t="s">
        <v>319</v>
      </c>
      <c r="B263" s="2" t="s">
        <v>842</v>
      </c>
      <c r="C263" s="1" t="s">
        <v>16</v>
      </c>
      <c r="D263" s="1" t="s">
        <v>17</v>
      </c>
      <c r="E263" s="1" t="s">
        <v>23</v>
      </c>
      <c r="F263" s="1">
        <v>1</v>
      </c>
      <c r="G263" s="1"/>
      <c r="H263" s="1">
        <v>2500</v>
      </c>
      <c r="I263" s="1" t="s">
        <v>19</v>
      </c>
      <c r="J263" s="1" t="s">
        <v>52</v>
      </c>
    </row>
    <row r="264" spans="1:10" x14ac:dyDescent="0.3">
      <c r="A264" s="1" t="s">
        <v>95</v>
      </c>
      <c r="B264" s="1">
        <v>45999</v>
      </c>
      <c r="C264" s="1" t="s">
        <v>46</v>
      </c>
      <c r="D264" s="1" t="s">
        <v>27</v>
      </c>
      <c r="E264" s="1" t="s">
        <v>28</v>
      </c>
      <c r="F264" s="1">
        <v>4</v>
      </c>
      <c r="G264" s="1">
        <v>399</v>
      </c>
      <c r="H264" s="1">
        <v>120</v>
      </c>
      <c r="I264" s="1" t="s">
        <v>24</v>
      </c>
      <c r="J264" s="1" t="s">
        <v>34</v>
      </c>
    </row>
    <row r="265" spans="1:10" x14ac:dyDescent="0.3">
      <c r="A265" s="1" t="s">
        <v>129</v>
      </c>
      <c r="B265" s="2" t="s">
        <v>843</v>
      </c>
      <c r="C265" s="1" t="s">
        <v>65</v>
      </c>
      <c r="D265" s="1" t="s">
        <v>12</v>
      </c>
      <c r="E265" s="1" t="s">
        <v>18</v>
      </c>
      <c r="F265" s="1"/>
      <c r="G265" s="1">
        <v>5299</v>
      </c>
      <c r="H265" s="1">
        <v>3800</v>
      </c>
      <c r="I265" s="1" t="s">
        <v>19</v>
      </c>
      <c r="J265" s="1" t="s">
        <v>15</v>
      </c>
    </row>
    <row r="266" spans="1:10" x14ac:dyDescent="0.3">
      <c r="A266" s="1"/>
      <c r="B266" s="1">
        <v>46001</v>
      </c>
      <c r="C266" s="1" t="s">
        <v>419</v>
      </c>
      <c r="D266" s="1" t="s">
        <v>301</v>
      </c>
      <c r="E266" s="1" t="s">
        <v>353</v>
      </c>
      <c r="F266" s="1">
        <v>10</v>
      </c>
      <c r="G266" s="1">
        <v>699</v>
      </c>
      <c r="H266" s="1">
        <v>500</v>
      </c>
      <c r="I266" s="1" t="s">
        <v>341</v>
      </c>
      <c r="J266" s="1" t="s">
        <v>370</v>
      </c>
    </row>
    <row r="267" spans="1:10" x14ac:dyDescent="0.3">
      <c r="A267" s="1" t="s">
        <v>844</v>
      </c>
      <c r="B267" s="2" t="s">
        <v>845</v>
      </c>
      <c r="C267" s="1" t="s">
        <v>846</v>
      </c>
      <c r="D267" s="1" t="s">
        <v>726</v>
      </c>
      <c r="E267" s="1" t="s">
        <v>563</v>
      </c>
      <c r="F267" s="1">
        <v>4</v>
      </c>
      <c r="G267" s="1">
        <v>3099</v>
      </c>
      <c r="H267" s="1">
        <v>1800</v>
      </c>
      <c r="I267" s="1" t="s">
        <v>847</v>
      </c>
      <c r="J267" s="1" t="s">
        <v>848</v>
      </c>
    </row>
    <row r="268" spans="1:10" x14ac:dyDescent="0.3">
      <c r="A268" s="1" t="s">
        <v>849</v>
      </c>
      <c r="B268" s="2" t="s">
        <v>850</v>
      </c>
      <c r="C268" s="1" t="s">
        <v>595</v>
      </c>
      <c r="D268" s="1" t="s">
        <v>596</v>
      </c>
      <c r="E268" s="1" t="s">
        <v>440</v>
      </c>
      <c r="F268" s="1">
        <v>5</v>
      </c>
      <c r="G268" s="1">
        <v>5699</v>
      </c>
      <c r="H268" s="2" t="s">
        <v>558</v>
      </c>
      <c r="I268" s="1" t="s">
        <v>416</v>
      </c>
      <c r="J268" s="1" t="s">
        <v>465</v>
      </c>
    </row>
    <row r="269" spans="1:10" x14ac:dyDescent="0.3">
      <c r="A269" s="1" t="s">
        <v>159</v>
      </c>
      <c r="B269" s="1">
        <v>46004</v>
      </c>
      <c r="C269" s="1" t="s">
        <v>16</v>
      </c>
      <c r="D269" s="1" t="s">
        <v>17</v>
      </c>
      <c r="E269" s="1" t="s">
        <v>40</v>
      </c>
      <c r="F269" s="1">
        <v>4</v>
      </c>
      <c r="G269" s="1">
        <v>3599</v>
      </c>
      <c r="H269" s="1">
        <v>2500</v>
      </c>
      <c r="I269" s="1" t="s">
        <v>33</v>
      </c>
      <c r="J269" s="1" t="s">
        <v>52</v>
      </c>
    </row>
    <row r="270" spans="1:10" x14ac:dyDescent="0.3">
      <c r="A270" s="1" t="s">
        <v>156</v>
      </c>
      <c r="B270" s="1">
        <v>46008</v>
      </c>
      <c r="C270" s="1" t="s">
        <v>21</v>
      </c>
      <c r="D270" s="1" t="s">
        <v>22</v>
      </c>
      <c r="E270" s="1" t="s">
        <v>32</v>
      </c>
      <c r="F270" s="1">
        <v>10</v>
      </c>
      <c r="G270" s="1">
        <v>799</v>
      </c>
      <c r="H270" s="1">
        <v>350</v>
      </c>
      <c r="I270" s="1" t="s">
        <v>14</v>
      </c>
      <c r="J270" s="1" t="s">
        <v>26</v>
      </c>
    </row>
    <row r="271" spans="1:10" x14ac:dyDescent="0.3">
      <c r="A271" s="1">
        <v>25051</v>
      </c>
      <c r="B271" s="2" t="s">
        <v>851</v>
      </c>
      <c r="C271" s="1" t="s">
        <v>622</v>
      </c>
      <c r="D271" s="1" t="s">
        <v>485</v>
      </c>
      <c r="E271" s="1" t="s">
        <v>40</v>
      </c>
      <c r="F271" s="1">
        <v>4</v>
      </c>
      <c r="G271" s="2" t="s">
        <v>852</v>
      </c>
      <c r="H271" s="1">
        <v>500</v>
      </c>
      <c r="I271" s="1" t="s">
        <v>356</v>
      </c>
      <c r="J271" s="1" t="s">
        <v>716</v>
      </c>
    </row>
    <row r="272" spans="1:10" x14ac:dyDescent="0.3">
      <c r="A272" s="1" t="s">
        <v>853</v>
      </c>
      <c r="B272" s="2" t="s">
        <v>854</v>
      </c>
      <c r="C272" s="1" t="s">
        <v>403</v>
      </c>
      <c r="D272" s="1" t="s">
        <v>141</v>
      </c>
      <c r="E272" s="1" t="s">
        <v>340</v>
      </c>
      <c r="F272" s="1">
        <v>7</v>
      </c>
      <c r="G272" s="1">
        <v>3499</v>
      </c>
      <c r="H272" s="1">
        <v>2400</v>
      </c>
      <c r="I272" s="1" t="s">
        <v>341</v>
      </c>
      <c r="J272" s="1"/>
    </row>
    <row r="273" spans="1:10" x14ac:dyDescent="0.3">
      <c r="A273" s="1" t="s">
        <v>855</v>
      </c>
      <c r="B273" s="1">
        <v>46010</v>
      </c>
      <c r="C273" s="1" t="s">
        <v>367</v>
      </c>
      <c r="D273" s="1" t="s">
        <v>141</v>
      </c>
      <c r="E273" s="1" t="s">
        <v>436</v>
      </c>
      <c r="F273" s="1">
        <v>8</v>
      </c>
      <c r="G273" s="1">
        <v>13199</v>
      </c>
      <c r="H273" s="1">
        <v>10800</v>
      </c>
      <c r="I273" s="1" t="s">
        <v>341</v>
      </c>
      <c r="J273" s="1" t="s">
        <v>491</v>
      </c>
    </row>
    <row r="274" spans="1:10" x14ac:dyDescent="0.3">
      <c r="A274" s="1" t="s">
        <v>103</v>
      </c>
      <c r="B274" s="2" t="s">
        <v>856</v>
      </c>
      <c r="C274" s="1" t="s">
        <v>51</v>
      </c>
      <c r="D274" s="1" t="s">
        <v>31</v>
      </c>
      <c r="E274" s="1" t="s">
        <v>28</v>
      </c>
      <c r="F274" s="1">
        <v>9</v>
      </c>
      <c r="G274" s="1">
        <v>3199</v>
      </c>
      <c r="H274" s="2" t="s">
        <v>783</v>
      </c>
      <c r="I274" s="1" t="s">
        <v>19</v>
      </c>
      <c r="J274" s="1" t="s">
        <v>55</v>
      </c>
    </row>
    <row r="275" spans="1:10" x14ac:dyDescent="0.3">
      <c r="A275" s="1" t="s">
        <v>173</v>
      </c>
      <c r="B275" s="2" t="s">
        <v>857</v>
      </c>
      <c r="C275" s="1" t="s">
        <v>21</v>
      </c>
      <c r="D275" s="1" t="s">
        <v>22</v>
      </c>
      <c r="E275" s="1" t="s">
        <v>340</v>
      </c>
      <c r="F275" s="1">
        <v>7</v>
      </c>
      <c r="G275" s="1">
        <v>799</v>
      </c>
      <c r="H275" s="1">
        <v>350</v>
      </c>
      <c r="I275" s="1" t="s">
        <v>14</v>
      </c>
      <c r="J275" s="1" t="s">
        <v>34</v>
      </c>
    </row>
    <row r="276" spans="1:10" x14ac:dyDescent="0.3">
      <c r="A276" s="1" t="s">
        <v>215</v>
      </c>
      <c r="B276" s="1">
        <v>46012</v>
      </c>
      <c r="C276" s="1" t="s">
        <v>46</v>
      </c>
      <c r="D276" s="1" t="s">
        <v>27</v>
      </c>
      <c r="E276" s="1" t="s">
        <v>28</v>
      </c>
      <c r="F276" s="1">
        <v>6</v>
      </c>
      <c r="G276" s="1">
        <v>199</v>
      </c>
      <c r="H276" s="1">
        <v>120</v>
      </c>
      <c r="I276" s="1" t="s">
        <v>41</v>
      </c>
      <c r="J276" s="1" t="s">
        <v>34</v>
      </c>
    </row>
    <row r="277" spans="1:10" x14ac:dyDescent="0.3">
      <c r="A277" s="1" t="s">
        <v>858</v>
      </c>
      <c r="B277" s="2" t="s">
        <v>859</v>
      </c>
      <c r="C277" s="1" t="s">
        <v>860</v>
      </c>
      <c r="D277" s="1" t="s">
        <v>631</v>
      </c>
      <c r="E277" s="1" t="s">
        <v>722</v>
      </c>
      <c r="F277" s="1">
        <v>6</v>
      </c>
      <c r="G277" s="2" t="s">
        <v>861</v>
      </c>
      <c r="H277" s="1">
        <v>2400</v>
      </c>
      <c r="I277" s="1" t="s">
        <v>464</v>
      </c>
      <c r="J277" s="1" t="s">
        <v>798</v>
      </c>
    </row>
    <row r="278" spans="1:10" x14ac:dyDescent="0.3">
      <c r="A278" s="1" t="s">
        <v>140</v>
      </c>
      <c r="B278" s="1">
        <v>46015</v>
      </c>
      <c r="C278" s="1" t="s">
        <v>30</v>
      </c>
      <c r="D278" s="1" t="s">
        <v>141</v>
      </c>
      <c r="E278" s="1" t="s">
        <v>28</v>
      </c>
      <c r="F278" s="1">
        <v>2</v>
      </c>
      <c r="G278" s="1">
        <v>16199</v>
      </c>
      <c r="H278" s="2" t="s">
        <v>862</v>
      </c>
      <c r="I278" s="1" t="s">
        <v>33</v>
      </c>
      <c r="J278" s="1" t="s">
        <v>47</v>
      </c>
    </row>
    <row r="279" spans="1:10" x14ac:dyDescent="0.3">
      <c r="A279" s="1" t="s">
        <v>166</v>
      </c>
      <c r="B279" s="2" t="s">
        <v>863</v>
      </c>
      <c r="C279" s="1" t="s">
        <v>11</v>
      </c>
      <c r="D279" s="1" t="s">
        <v>12</v>
      </c>
      <c r="E279" s="1" t="s">
        <v>23</v>
      </c>
      <c r="F279" s="2" t="s">
        <v>545</v>
      </c>
      <c r="G279" s="1">
        <v>6799</v>
      </c>
      <c r="H279" s="1">
        <v>5000</v>
      </c>
      <c r="I279" s="1" t="s">
        <v>19</v>
      </c>
      <c r="J279" s="1" t="s">
        <v>34</v>
      </c>
    </row>
    <row r="280" spans="1:10" x14ac:dyDescent="0.3">
      <c r="A280" s="1" t="s">
        <v>166</v>
      </c>
      <c r="B280" s="2" t="s">
        <v>863</v>
      </c>
      <c r="C280" s="1" t="s">
        <v>11</v>
      </c>
      <c r="D280" s="1" t="s">
        <v>12</v>
      </c>
      <c r="E280" s="1" t="s">
        <v>23</v>
      </c>
      <c r="F280" s="2" t="s">
        <v>545</v>
      </c>
      <c r="G280" s="1">
        <v>6799</v>
      </c>
      <c r="H280" s="1">
        <v>5000</v>
      </c>
      <c r="I280" s="1" t="s">
        <v>19</v>
      </c>
      <c r="J280" s="1" t="s">
        <v>34</v>
      </c>
    </row>
    <row r="281" spans="1:10" x14ac:dyDescent="0.3">
      <c r="A281" s="1" t="s">
        <v>864</v>
      </c>
      <c r="B281" s="2" t="s">
        <v>865</v>
      </c>
      <c r="C281" s="1" t="s">
        <v>725</v>
      </c>
      <c r="D281" s="1" t="s">
        <v>726</v>
      </c>
      <c r="E281" s="1" t="s">
        <v>409</v>
      </c>
      <c r="F281" s="1">
        <v>2</v>
      </c>
      <c r="G281" s="1">
        <v>15899</v>
      </c>
      <c r="H281" s="1">
        <v>13500</v>
      </c>
      <c r="I281" s="1" t="s">
        <v>564</v>
      </c>
      <c r="J281" s="1" t="s">
        <v>565</v>
      </c>
    </row>
    <row r="282" spans="1:10" x14ac:dyDescent="0.3">
      <c r="A282" s="1" t="s">
        <v>273</v>
      </c>
      <c r="B282" s="1">
        <v>46016</v>
      </c>
      <c r="C282" s="1" t="s">
        <v>37</v>
      </c>
      <c r="D282" s="1" t="s">
        <v>38</v>
      </c>
      <c r="E282" s="1" t="s">
        <v>40</v>
      </c>
      <c r="F282" s="1">
        <v>7</v>
      </c>
      <c r="G282" s="2" t="s">
        <v>866</v>
      </c>
      <c r="H282" s="1">
        <v>90</v>
      </c>
      <c r="I282" s="1" t="s">
        <v>33</v>
      </c>
      <c r="J282" s="1" t="s">
        <v>55</v>
      </c>
    </row>
    <row r="283" spans="1:10" x14ac:dyDescent="0.3">
      <c r="A283" s="1" t="s">
        <v>110</v>
      </c>
      <c r="B283" s="2" t="s">
        <v>867</v>
      </c>
      <c r="C283" s="1" t="s">
        <v>678</v>
      </c>
      <c r="D283" s="1" t="s">
        <v>429</v>
      </c>
      <c r="E283" s="1" t="s">
        <v>623</v>
      </c>
      <c r="F283" s="1">
        <v>2</v>
      </c>
      <c r="G283" s="1">
        <v>3599</v>
      </c>
      <c r="H283" s="1">
        <v>2500</v>
      </c>
      <c r="I283" s="1" t="s">
        <v>551</v>
      </c>
      <c r="J283" s="1" t="s">
        <v>552</v>
      </c>
    </row>
    <row r="284" spans="1:10" x14ac:dyDescent="0.3">
      <c r="A284" s="1">
        <v>56440</v>
      </c>
      <c r="B284" s="2" t="s">
        <v>868</v>
      </c>
      <c r="C284" s="1" t="s">
        <v>65</v>
      </c>
      <c r="D284" s="1" t="s">
        <v>12</v>
      </c>
      <c r="E284" s="1" t="s">
        <v>28</v>
      </c>
      <c r="F284" s="1">
        <v>10</v>
      </c>
      <c r="G284" s="1">
        <v>5499</v>
      </c>
      <c r="H284" s="1">
        <v>3800</v>
      </c>
      <c r="I284" s="1" t="s">
        <v>19</v>
      </c>
      <c r="J284" s="1" t="s">
        <v>26</v>
      </c>
    </row>
    <row r="285" spans="1:10" x14ac:dyDescent="0.3">
      <c r="A285" s="1" t="s">
        <v>229</v>
      </c>
      <c r="B285" s="1">
        <v>46019</v>
      </c>
      <c r="C285" s="1" t="s">
        <v>49</v>
      </c>
      <c r="D285" s="1" t="s">
        <v>22</v>
      </c>
      <c r="E285" s="1" t="s">
        <v>18</v>
      </c>
      <c r="F285" s="1">
        <v>9</v>
      </c>
      <c r="G285" s="1">
        <v>2599</v>
      </c>
      <c r="H285" s="1">
        <v>1400</v>
      </c>
      <c r="I285" s="1" t="s">
        <v>33</v>
      </c>
      <c r="J285" s="1" t="s">
        <v>370</v>
      </c>
    </row>
    <row r="286" spans="1:10" x14ac:dyDescent="0.3">
      <c r="A286" s="1" t="s">
        <v>248</v>
      </c>
      <c r="B286" s="1">
        <v>46019</v>
      </c>
      <c r="C286" s="1" t="s">
        <v>37</v>
      </c>
      <c r="D286" s="1" t="s">
        <v>38</v>
      </c>
      <c r="E286" s="1" t="s">
        <v>28</v>
      </c>
      <c r="F286" s="1">
        <v>10</v>
      </c>
      <c r="G286" s="1">
        <v>349</v>
      </c>
      <c r="H286" s="1">
        <v>90</v>
      </c>
      <c r="I286" s="1" t="s">
        <v>24</v>
      </c>
      <c r="J286" s="1" t="s">
        <v>26</v>
      </c>
    </row>
    <row r="287" spans="1:10" x14ac:dyDescent="0.3">
      <c r="A287" s="1" t="s">
        <v>869</v>
      </c>
      <c r="B287" s="2" t="s">
        <v>870</v>
      </c>
      <c r="C287" s="1" t="s">
        <v>871</v>
      </c>
      <c r="D287" s="1" t="s">
        <v>383</v>
      </c>
      <c r="E287" s="1" t="s">
        <v>384</v>
      </c>
      <c r="F287" s="1">
        <v>10</v>
      </c>
      <c r="G287" s="1">
        <v>2899</v>
      </c>
      <c r="H287" s="1">
        <v>1800</v>
      </c>
      <c r="I287" s="1" t="s">
        <v>416</v>
      </c>
      <c r="J287" s="1" t="s">
        <v>482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89"/>
  <sheetViews>
    <sheetView topLeftCell="P1" zoomScale="102" zoomScaleNormal="102" workbookViewId="0">
      <selection activeCell="D25" sqref="D25"/>
    </sheetView>
  </sheetViews>
  <sheetFormatPr defaultRowHeight="14.4" x14ac:dyDescent="0.3"/>
  <cols>
    <col min="1" max="1" width="16.6640625" style="4" customWidth="1"/>
    <col min="2" max="2" width="15.21875" style="4" customWidth="1"/>
    <col min="3" max="3" width="21.88671875" style="4" customWidth="1"/>
    <col min="4" max="4" width="15.21875" style="4" customWidth="1"/>
    <col min="5" max="5" width="14.109375" style="4" customWidth="1"/>
    <col min="6" max="6" width="10.21875" style="4" customWidth="1"/>
    <col min="7" max="8" width="14.44140625" style="4" customWidth="1"/>
    <col min="9" max="9" width="15.88671875" style="4" customWidth="1"/>
    <col min="10" max="10" width="16.33203125" style="4" customWidth="1"/>
    <col min="11" max="11" width="17" style="4" customWidth="1"/>
    <col min="12" max="12" width="16.33203125" style="4" customWidth="1"/>
    <col min="13" max="13" width="14.109375" style="5" customWidth="1"/>
    <col min="14" max="14" width="3.33203125" style="4" customWidth="1"/>
    <col min="15" max="15" width="17" style="4" customWidth="1"/>
    <col min="16" max="16" width="15.21875" style="9" customWidth="1"/>
    <col min="17" max="17" width="21.88671875" style="4" customWidth="1"/>
    <col min="18" max="18" width="15.21875" style="4" customWidth="1"/>
    <col min="19" max="19" width="14.109375" style="4" customWidth="1"/>
    <col min="20" max="20" width="10.21875" style="4" customWidth="1"/>
    <col min="21" max="22" width="14.44140625" style="4" customWidth="1"/>
    <col min="23" max="23" width="15.88671875" style="4" customWidth="1"/>
    <col min="24" max="24" width="16.33203125" style="4" customWidth="1"/>
    <col min="25" max="25" width="17" style="4" customWidth="1"/>
    <col min="26" max="26" width="16.33203125" style="4" customWidth="1"/>
    <col min="27" max="27" width="14.109375" style="5" customWidth="1"/>
    <col min="28" max="16384" width="8.88671875" style="4"/>
  </cols>
  <sheetData>
    <row r="1" spans="1:28" ht="31.95" customHeight="1" x14ac:dyDescent="0.3">
      <c r="A1" s="74" t="s">
        <v>893</v>
      </c>
      <c r="B1" s="75"/>
      <c r="C1" s="75"/>
      <c r="D1" s="75"/>
      <c r="E1" s="75"/>
      <c r="F1" s="75"/>
      <c r="G1" s="75"/>
      <c r="H1" s="75"/>
      <c r="I1" s="75"/>
      <c r="J1" s="75"/>
      <c r="K1" s="75"/>
      <c r="L1" s="75"/>
      <c r="M1" s="75"/>
      <c r="N1" s="18"/>
      <c r="O1" s="89" t="s">
        <v>897</v>
      </c>
      <c r="P1" s="90"/>
      <c r="Q1" s="90"/>
      <c r="R1" s="90"/>
      <c r="S1" s="90"/>
      <c r="T1" s="90"/>
      <c r="U1" s="90"/>
      <c r="V1" s="90"/>
      <c r="W1" s="90"/>
      <c r="X1" s="90"/>
      <c r="Y1" s="90"/>
      <c r="Z1" s="90"/>
      <c r="AA1" s="90"/>
      <c r="AB1" s="15"/>
    </row>
    <row r="2" spans="1:28" ht="28.05" customHeight="1" x14ac:dyDescent="0.3">
      <c r="A2" s="76" t="s">
        <v>911</v>
      </c>
      <c r="B2" s="77"/>
      <c r="C2" s="77"/>
      <c r="D2" s="77"/>
      <c r="E2" s="77"/>
      <c r="F2" s="77"/>
      <c r="G2" s="77"/>
      <c r="H2" s="77"/>
      <c r="I2" s="77"/>
      <c r="J2" s="77"/>
      <c r="K2" s="77"/>
      <c r="L2" s="77"/>
      <c r="M2" s="77"/>
      <c r="N2" s="18"/>
      <c r="O2" s="91" t="s">
        <v>898</v>
      </c>
      <c r="P2" s="91"/>
      <c r="Q2" s="91"/>
      <c r="R2" s="94" t="s">
        <v>900</v>
      </c>
      <c r="S2" s="94"/>
      <c r="T2" s="94"/>
      <c r="U2" s="95" t="s">
        <v>902</v>
      </c>
      <c r="V2" s="95"/>
      <c r="W2" s="95"/>
      <c r="X2" s="96" t="s">
        <v>904</v>
      </c>
      <c r="Y2" s="96"/>
      <c r="Z2" s="96"/>
      <c r="AA2" s="96"/>
      <c r="AB2" s="15"/>
    </row>
    <row r="3" spans="1:28" ht="7.95" customHeight="1" x14ac:dyDescent="0.3">
      <c r="A3" s="18"/>
      <c r="B3" s="18"/>
      <c r="C3" s="18"/>
      <c r="D3" s="18"/>
      <c r="E3" s="18"/>
      <c r="F3" s="18"/>
      <c r="G3" s="18"/>
      <c r="H3" s="18"/>
      <c r="I3" s="18"/>
      <c r="J3" s="18"/>
      <c r="K3" s="18"/>
      <c r="L3" s="18"/>
      <c r="M3" s="19"/>
      <c r="N3" s="18"/>
      <c r="O3" s="92" t="s">
        <v>899</v>
      </c>
      <c r="P3" s="93"/>
      <c r="Q3" s="93"/>
      <c r="R3" s="92" t="s">
        <v>901</v>
      </c>
      <c r="S3" s="93"/>
      <c r="T3" s="93"/>
      <c r="U3" s="92" t="s">
        <v>903</v>
      </c>
      <c r="V3" s="93"/>
      <c r="W3" s="93"/>
      <c r="X3" s="92" t="s">
        <v>905</v>
      </c>
      <c r="Y3" s="93"/>
      <c r="Z3" s="93"/>
      <c r="AA3" s="93"/>
      <c r="AB3" s="15"/>
    </row>
    <row r="4" spans="1:28" ht="19.95" customHeight="1" x14ac:dyDescent="0.3">
      <c r="A4" s="78" t="s">
        <v>894</v>
      </c>
      <c r="B4" s="79"/>
      <c r="C4" s="79"/>
      <c r="D4" s="78" t="s">
        <v>881</v>
      </c>
      <c r="E4" s="79"/>
      <c r="F4" s="79"/>
      <c r="G4" s="78" t="s">
        <v>882</v>
      </c>
      <c r="H4" s="79"/>
      <c r="I4" s="79"/>
      <c r="J4" s="78" t="s">
        <v>895</v>
      </c>
      <c r="K4" s="79"/>
      <c r="L4" s="79"/>
      <c r="M4" s="85"/>
      <c r="N4" s="18"/>
      <c r="O4" s="93"/>
      <c r="P4" s="93"/>
      <c r="Q4" s="93"/>
      <c r="R4" s="93"/>
      <c r="S4" s="93"/>
      <c r="T4" s="93"/>
      <c r="U4" s="93"/>
      <c r="V4" s="93"/>
      <c r="W4" s="93"/>
      <c r="X4" s="93"/>
      <c r="Y4" s="93"/>
      <c r="Z4" s="93"/>
      <c r="AA4" s="93"/>
      <c r="AB4" s="15"/>
    </row>
    <row r="5" spans="1:28" ht="25.05" customHeight="1" x14ac:dyDescent="0.3">
      <c r="A5" s="80">
        <f>ROWS(Table1[Order ID])</f>
        <v>278</v>
      </c>
      <c r="B5" s="81"/>
      <c r="C5" s="81"/>
      <c r="D5" s="84" t="str">
        <f>"INR "&amp;TEXT(SUM(Table1[Revenue]),"#,##0")</f>
        <v>INR 6,919,567</v>
      </c>
      <c r="E5" s="81"/>
      <c r="F5" s="81"/>
      <c r="G5" s="84" t="str">
        <f>"INR "&amp;TEXT(SUM(Table1[Profit]),"#,##0")</f>
        <v>INR 1,732,187</v>
      </c>
      <c r="H5" s="81"/>
      <c r="I5" s="81"/>
      <c r="J5" s="80" t="str">
        <f>TEXT(IFERROR(SUM(Table1[Profit])/SUM(Table1[Revenue]),0),"0.0%")</f>
        <v>25.0%</v>
      </c>
      <c r="K5" s="81"/>
      <c r="L5" s="81"/>
      <c r="M5" s="86"/>
      <c r="N5" s="18"/>
      <c r="O5" s="103" t="s">
        <v>906</v>
      </c>
      <c r="P5" s="104"/>
      <c r="Q5" s="104"/>
      <c r="R5" s="103" t="s">
        <v>907</v>
      </c>
      <c r="S5" s="104"/>
      <c r="T5" s="104"/>
      <c r="U5" s="107" t="s">
        <v>908</v>
      </c>
      <c r="V5" s="108"/>
      <c r="W5" s="108"/>
      <c r="X5" s="97" t="s">
        <v>909</v>
      </c>
      <c r="Y5" s="98"/>
      <c r="Z5" s="98"/>
      <c r="AA5" s="99"/>
      <c r="AB5" s="15"/>
    </row>
    <row r="6" spans="1:28" ht="25.05" customHeight="1" x14ac:dyDescent="0.3">
      <c r="A6" s="82"/>
      <c r="B6" s="83"/>
      <c r="C6" s="83"/>
      <c r="D6" s="82"/>
      <c r="E6" s="83"/>
      <c r="F6" s="83"/>
      <c r="G6" s="82"/>
      <c r="H6" s="83"/>
      <c r="I6" s="83"/>
      <c r="J6" s="82"/>
      <c r="K6" s="83"/>
      <c r="L6" s="83"/>
      <c r="M6" s="87"/>
      <c r="N6" s="18"/>
      <c r="O6" s="105">
        <f>ROWS(Table1[Order ID])</f>
        <v>278</v>
      </c>
      <c r="P6" s="106"/>
      <c r="Q6" s="106"/>
      <c r="R6" s="105" t="str">
        <f>TEXT(MIN(Table1[Order Date]),"mmm yyyy")&amp;" - "&amp;TEXT(MAX(Table1[Order Date]),"mmm yyyy")</f>
        <v>Jan 2025 - Dec 2025</v>
      </c>
      <c r="S6" s="106"/>
      <c r="T6" s="106"/>
      <c r="U6" s="109">
        <f>COUNTIF(Table1[Profit Margin],"&lt;0")</f>
        <v>7</v>
      </c>
      <c r="V6" s="110"/>
      <c r="W6" s="110"/>
      <c r="X6" s="100" t="str">
        <f>TEXT(1-(COUNTBLANK(Table1[Order ID])+COUNTBLANK(Table1[Order Date])+COUNTBLANK(Table1[Product Name])+COUNTBLANK(Table1[Category])+COUNTBLANK(Table1[Region])+COUNTBLANK(Table1[Quantity])+COUNTBLANK(Table1[Unit Price])+COUNTBLANK(Table1[Cost Price])+COUNTBLANK(Table1[Order Status])+COUNTBLANK(Table1[Payment Method]))/(ROWS(Table1[Order ID])*10),"0%")</f>
        <v>100%</v>
      </c>
      <c r="Y6" s="101"/>
      <c r="Z6" s="101"/>
      <c r="AA6" s="102"/>
      <c r="AB6" s="15"/>
    </row>
    <row r="7" spans="1:28" ht="7.95" customHeight="1" x14ac:dyDescent="0.3">
      <c r="A7" s="18"/>
      <c r="B7" s="18"/>
      <c r="C7" s="18"/>
      <c r="D7" s="18"/>
      <c r="E7" s="18"/>
      <c r="F7" s="18"/>
      <c r="G7" s="18"/>
      <c r="H7" s="18"/>
      <c r="I7" s="18"/>
      <c r="J7" s="18"/>
      <c r="K7" s="18"/>
      <c r="L7" s="18"/>
      <c r="M7" s="19"/>
      <c r="N7" s="18"/>
      <c r="O7" s="18"/>
      <c r="P7" s="20"/>
      <c r="Q7" s="18"/>
      <c r="R7" s="18"/>
      <c r="S7" s="18"/>
      <c r="T7" s="18"/>
      <c r="U7" s="18"/>
      <c r="V7" s="18"/>
      <c r="W7" s="18"/>
      <c r="X7" s="18"/>
      <c r="Y7" s="18"/>
      <c r="Z7" s="18"/>
      <c r="AA7" s="19"/>
      <c r="AB7" s="15"/>
    </row>
    <row r="8" spans="1:28" ht="24" customHeight="1" x14ac:dyDescent="0.3">
      <c r="A8" s="88" t="s">
        <v>896</v>
      </c>
      <c r="B8" s="88"/>
      <c r="C8" s="88"/>
      <c r="D8" s="88"/>
      <c r="E8" s="88"/>
      <c r="F8" s="88"/>
      <c r="G8" s="88"/>
      <c r="H8" s="88"/>
      <c r="I8" s="88"/>
      <c r="J8" s="88"/>
      <c r="K8" s="88"/>
      <c r="L8" s="88"/>
      <c r="M8" s="88"/>
      <c r="N8" s="21"/>
      <c r="O8" s="73" t="s">
        <v>910</v>
      </c>
      <c r="P8" s="73"/>
      <c r="Q8" s="73"/>
      <c r="R8" s="73"/>
      <c r="S8" s="73"/>
      <c r="T8" s="73"/>
      <c r="U8" s="73"/>
      <c r="V8" s="73"/>
      <c r="W8" s="73"/>
      <c r="X8" s="73"/>
      <c r="Y8" s="73"/>
      <c r="Z8" s="73"/>
      <c r="AA8" s="73"/>
      <c r="AB8" s="15"/>
    </row>
    <row r="9" spans="1:28" ht="22.05" customHeight="1" thickBot="1" x14ac:dyDescent="0.35">
      <c r="A9" s="34" t="s">
        <v>0</v>
      </c>
      <c r="B9" s="34" t="s">
        <v>1</v>
      </c>
      <c r="C9" s="34" t="s">
        <v>2</v>
      </c>
      <c r="D9" s="34" t="s">
        <v>3</v>
      </c>
      <c r="E9" s="34" t="s">
        <v>4</v>
      </c>
      <c r="F9" s="34" t="s">
        <v>5</v>
      </c>
      <c r="G9" s="34" t="s">
        <v>6</v>
      </c>
      <c r="H9" s="34" t="s">
        <v>7</v>
      </c>
      <c r="I9" s="34" t="s">
        <v>8</v>
      </c>
      <c r="J9" s="34" t="s">
        <v>9</v>
      </c>
      <c r="K9" s="35" t="s">
        <v>877</v>
      </c>
      <c r="L9" s="34" t="s">
        <v>878</v>
      </c>
      <c r="M9" s="36" t="s">
        <v>887</v>
      </c>
      <c r="N9" s="21"/>
      <c r="O9" s="44" t="s">
        <v>0</v>
      </c>
      <c r="P9" s="45" t="s">
        <v>1</v>
      </c>
      <c r="Q9" s="46" t="s">
        <v>2</v>
      </c>
      <c r="R9" s="46" t="s">
        <v>3</v>
      </c>
      <c r="S9" s="46" t="s">
        <v>4</v>
      </c>
      <c r="T9" s="46" t="s">
        <v>5</v>
      </c>
      <c r="U9" s="46" t="s">
        <v>6</v>
      </c>
      <c r="V9" s="46" t="s">
        <v>7</v>
      </c>
      <c r="W9" s="46" t="s">
        <v>8</v>
      </c>
      <c r="X9" s="46" t="s">
        <v>9</v>
      </c>
      <c r="Y9" s="47" t="s">
        <v>877</v>
      </c>
      <c r="Z9" s="46" t="s">
        <v>878</v>
      </c>
      <c r="AA9" s="48" t="s">
        <v>887</v>
      </c>
      <c r="AB9" s="15"/>
    </row>
    <row r="10" spans="1:28" x14ac:dyDescent="0.3">
      <c r="A10" s="22" t="s">
        <v>278</v>
      </c>
      <c r="B10" s="23">
        <v>45658</v>
      </c>
      <c r="C10" s="22" t="s">
        <v>11</v>
      </c>
      <c r="D10" s="22" t="s">
        <v>12</v>
      </c>
      <c r="E10" s="22" t="s">
        <v>18</v>
      </c>
      <c r="F10" s="24">
        <v>7</v>
      </c>
      <c r="G10" s="24">
        <v>7199</v>
      </c>
      <c r="H10" s="24">
        <v>5000</v>
      </c>
      <c r="I10" s="22" t="s">
        <v>19</v>
      </c>
      <c r="J10" s="22" t="s">
        <v>47</v>
      </c>
      <c r="K10" s="25">
        <f>Table1[[#This Row],[Quantity]]*Table1[[#This Row],[Unit Price]]</f>
        <v>50393</v>
      </c>
      <c r="L10" s="24">
        <f>Table1[[#This Row],[Revenue]]-Table1[[#This Row],[Cost Price]]*Table1[[#This Row],[Quantity]]</f>
        <v>15393</v>
      </c>
      <c r="M10" s="26">
        <f>IFERROR(Table1[[#This Row],[Profit]]/Table1[[#This Row],[Revenue]],"")</f>
        <v>0.30545909154049172</v>
      </c>
      <c r="N10" s="22"/>
      <c r="O10" s="42" t="s">
        <v>278</v>
      </c>
      <c r="P10" s="27" cm="1">
        <f t="array" ref="P10:AA10">_xlfn.XLOOKUP(O10,Table1[Order ID],Table1[[Order Date]:[Profit Margin]],0,0,1)</f>
        <v>45658</v>
      </c>
      <c r="Q10" s="22" t="str">
        <v>Study Table</v>
      </c>
      <c r="R10" s="22" t="str">
        <v>Furniture</v>
      </c>
      <c r="S10" s="22" t="str">
        <v>Central</v>
      </c>
      <c r="T10" s="22">
        <v>7</v>
      </c>
      <c r="U10" s="22">
        <v>7199</v>
      </c>
      <c r="V10" s="22">
        <v>5000</v>
      </c>
      <c r="W10" s="22" t="str">
        <v>Delivered</v>
      </c>
      <c r="X10" s="22" t="str">
        <v>Debit Card</v>
      </c>
      <c r="Y10" s="22">
        <v>50393</v>
      </c>
      <c r="Z10" s="22">
        <v>15393</v>
      </c>
      <c r="AA10" s="43">
        <v>0.30545909154049172</v>
      </c>
      <c r="AB10" s="15"/>
    </row>
    <row r="11" spans="1:28" x14ac:dyDescent="0.3">
      <c r="A11" s="37" t="s">
        <v>131</v>
      </c>
      <c r="B11" s="38">
        <v>45660</v>
      </c>
      <c r="C11" s="37" t="s">
        <v>21</v>
      </c>
      <c r="D11" s="37" t="s">
        <v>22</v>
      </c>
      <c r="E11" s="37" t="s">
        <v>23</v>
      </c>
      <c r="F11" s="39">
        <v>3</v>
      </c>
      <c r="G11" s="39">
        <v>799</v>
      </c>
      <c r="H11" s="39">
        <v>350</v>
      </c>
      <c r="I11" s="37" t="s">
        <v>19</v>
      </c>
      <c r="J11" s="37" t="s">
        <v>34</v>
      </c>
      <c r="K11" s="40">
        <f>Table1[[#This Row],[Quantity]]*Table1[[#This Row],[Unit Price]]</f>
        <v>2397</v>
      </c>
      <c r="L11" s="39">
        <f>Table1[[#This Row],[Revenue]]-Table1[[#This Row],[Cost Price]]*Table1[[#This Row],[Quantity]]</f>
        <v>1347</v>
      </c>
      <c r="M11" s="41">
        <f>IFERROR(Table1[[#This Row],[Profit]]/Table1[[#This Row],[Revenue]],"")</f>
        <v>0.56195244055068838</v>
      </c>
      <c r="N11" s="22"/>
      <c r="O11" s="49" t="s">
        <v>131</v>
      </c>
      <c r="P11" s="50" cm="1">
        <f t="array" ref="P11:AA11">_xlfn.XLOOKUP(O11,Table1[Order ID],Table1[[Order Date]:[Profit Margin]],0,0,1)</f>
        <v>45660</v>
      </c>
      <c r="Q11" s="37" t="str">
        <v>Cotton T-Shirt</v>
      </c>
      <c r="R11" s="37" t="str">
        <v>Fashion</v>
      </c>
      <c r="S11" s="37" t="str">
        <v>West</v>
      </c>
      <c r="T11" s="37">
        <v>3</v>
      </c>
      <c r="U11" s="37">
        <v>799</v>
      </c>
      <c r="V11" s="37">
        <v>350</v>
      </c>
      <c r="W11" s="37" t="str">
        <v>Delivered</v>
      </c>
      <c r="X11" s="37" t="str">
        <v>UPI</v>
      </c>
      <c r="Y11" s="37">
        <v>2397</v>
      </c>
      <c r="Z11" s="37">
        <v>1347</v>
      </c>
      <c r="AA11" s="51">
        <v>0.56195244055068838</v>
      </c>
      <c r="AB11" s="15"/>
    </row>
    <row r="12" spans="1:28" x14ac:dyDescent="0.3">
      <c r="A12" s="22" t="s">
        <v>161</v>
      </c>
      <c r="B12" s="23">
        <v>45660</v>
      </c>
      <c r="C12" s="22" t="s">
        <v>21</v>
      </c>
      <c r="D12" s="22" t="s">
        <v>22</v>
      </c>
      <c r="E12" s="22" t="s">
        <v>13</v>
      </c>
      <c r="F12" s="24">
        <v>7</v>
      </c>
      <c r="G12" s="24">
        <v>699</v>
      </c>
      <c r="H12" s="24">
        <v>350</v>
      </c>
      <c r="I12" s="22" t="s">
        <v>19</v>
      </c>
      <c r="J12" s="22" t="s">
        <v>47</v>
      </c>
      <c r="K12" s="25">
        <f>Table1[[#This Row],[Quantity]]*Table1[[#This Row],[Unit Price]]</f>
        <v>4893</v>
      </c>
      <c r="L12" s="24">
        <f>Table1[[#This Row],[Revenue]]-Table1[[#This Row],[Cost Price]]*Table1[[#This Row],[Quantity]]</f>
        <v>2443</v>
      </c>
      <c r="M12" s="26">
        <f>IFERROR(Table1[[#This Row],[Profit]]/Table1[[#This Row],[Revenue]],"")</f>
        <v>0.49928469241773965</v>
      </c>
      <c r="N12" s="22"/>
      <c r="O12" s="42" t="s">
        <v>161</v>
      </c>
      <c r="P12" s="27" cm="1">
        <f t="array" ref="P12:AA12">_xlfn.XLOOKUP(O12,Table1[Order ID],Table1[[Order Date]:[Profit Margin]],0,0,1)</f>
        <v>45660</v>
      </c>
      <c r="Q12" s="22" t="str">
        <v>Cotton T-Shirt</v>
      </c>
      <c r="R12" s="22" t="str">
        <v>Fashion</v>
      </c>
      <c r="S12" s="22" t="str">
        <v>South</v>
      </c>
      <c r="T12" s="22">
        <v>7</v>
      </c>
      <c r="U12" s="22">
        <v>699</v>
      </c>
      <c r="V12" s="22">
        <v>350</v>
      </c>
      <c r="W12" s="22" t="str">
        <v>Delivered</v>
      </c>
      <c r="X12" s="22" t="str">
        <v>Debit Card</v>
      </c>
      <c r="Y12" s="22">
        <v>4893</v>
      </c>
      <c r="Z12" s="22">
        <v>2443</v>
      </c>
      <c r="AA12" s="43">
        <v>0.49928469241773965</v>
      </c>
      <c r="AB12" s="15"/>
    </row>
    <row r="13" spans="1:28" x14ac:dyDescent="0.3">
      <c r="A13" s="37" t="s">
        <v>270</v>
      </c>
      <c r="B13" s="38">
        <v>45661</v>
      </c>
      <c r="C13" s="37" t="s">
        <v>51</v>
      </c>
      <c r="D13" s="37" t="s">
        <v>31</v>
      </c>
      <c r="E13" s="37" t="s">
        <v>13</v>
      </c>
      <c r="F13" s="39">
        <v>6</v>
      </c>
      <c r="G13" s="39">
        <v>3099</v>
      </c>
      <c r="H13" s="39">
        <v>1800</v>
      </c>
      <c r="I13" s="37" t="s">
        <v>19</v>
      </c>
      <c r="J13" s="37" t="s">
        <v>55</v>
      </c>
      <c r="K13" s="40">
        <f>Table1[[#This Row],[Quantity]]*Table1[[#This Row],[Unit Price]]</f>
        <v>18594</v>
      </c>
      <c r="L13" s="39">
        <f>Table1[[#This Row],[Revenue]]-Table1[[#This Row],[Cost Price]]*Table1[[#This Row],[Quantity]]</f>
        <v>7794</v>
      </c>
      <c r="M13" s="41">
        <f>IFERROR(Table1[[#This Row],[Profit]]/Table1[[#This Row],[Revenue]],"")</f>
        <v>0.41916747337850918</v>
      </c>
      <c r="N13" s="22"/>
      <c r="O13" s="49" t="s">
        <v>270</v>
      </c>
      <c r="P13" s="50" cm="1">
        <f t="array" ref="P13:AA13">_xlfn.XLOOKUP(O13,Table1[Order ID],Table1[[Order Date]:[Profit Margin]],0,0,1)</f>
        <v>45661</v>
      </c>
      <c r="Q13" s="37" t="str">
        <v>Bluetooth Speaker</v>
      </c>
      <c r="R13" s="37" t="str">
        <v>Electronics</v>
      </c>
      <c r="S13" s="37" t="str">
        <v>South</v>
      </c>
      <c r="T13" s="37">
        <v>6</v>
      </c>
      <c r="U13" s="37">
        <v>3099</v>
      </c>
      <c r="V13" s="37">
        <v>1800</v>
      </c>
      <c r="W13" s="37" t="str">
        <v>Delivered</v>
      </c>
      <c r="X13" s="37" t="str">
        <v>Net Banking</v>
      </c>
      <c r="Y13" s="37">
        <v>18594</v>
      </c>
      <c r="Z13" s="37">
        <v>7794</v>
      </c>
      <c r="AA13" s="51">
        <v>0.41916747337850918</v>
      </c>
      <c r="AB13" s="15"/>
    </row>
    <row r="14" spans="1:28" x14ac:dyDescent="0.3">
      <c r="A14" s="22" t="s">
        <v>276</v>
      </c>
      <c r="B14" s="23">
        <v>45662</v>
      </c>
      <c r="C14" s="22" t="s">
        <v>30</v>
      </c>
      <c r="D14" s="22" t="s">
        <v>31</v>
      </c>
      <c r="E14" s="22" t="s">
        <v>13</v>
      </c>
      <c r="F14" s="24">
        <v>8</v>
      </c>
      <c r="G14" s="24">
        <v>15799</v>
      </c>
      <c r="H14" s="24">
        <v>13500</v>
      </c>
      <c r="I14" s="22" t="s">
        <v>24</v>
      </c>
      <c r="J14" s="22" t="s">
        <v>34</v>
      </c>
      <c r="K14" s="25">
        <f>Table1[[#This Row],[Quantity]]*Table1[[#This Row],[Unit Price]]</f>
        <v>126392</v>
      </c>
      <c r="L14" s="24">
        <f>Table1[[#This Row],[Revenue]]-Table1[[#This Row],[Cost Price]]*Table1[[#This Row],[Quantity]]</f>
        <v>18392</v>
      </c>
      <c r="M14" s="26">
        <f>IFERROR(Table1[[#This Row],[Profit]]/Table1[[#This Row],[Revenue]],"")</f>
        <v>0.14551553895816191</v>
      </c>
      <c r="N14" s="22"/>
      <c r="O14" s="42" t="s">
        <v>276</v>
      </c>
      <c r="P14" s="27" cm="1">
        <f t="array" ref="P14:AA14">_xlfn.XLOOKUP(O14,Table1[Order ID],Table1[[Order Date]:[Profit Margin]],0,0,1)</f>
        <v>45662</v>
      </c>
      <c r="Q14" s="22" t="str">
        <v>Redmi Note 13</v>
      </c>
      <c r="R14" s="22" t="str">
        <v>Electronics</v>
      </c>
      <c r="S14" s="22" t="str">
        <v>South</v>
      </c>
      <c r="T14" s="22">
        <v>8</v>
      </c>
      <c r="U14" s="22">
        <v>15799</v>
      </c>
      <c r="V14" s="22">
        <v>13500</v>
      </c>
      <c r="W14" s="22" t="str">
        <v>Cancelled</v>
      </c>
      <c r="X14" s="22" t="str">
        <v>UPI</v>
      </c>
      <c r="Y14" s="22">
        <v>126392</v>
      </c>
      <c r="Z14" s="22">
        <v>18392</v>
      </c>
      <c r="AA14" s="43">
        <v>0.14551553895816191</v>
      </c>
      <c r="AB14" s="15"/>
    </row>
    <row r="15" spans="1:28" x14ac:dyDescent="0.3">
      <c r="A15" s="37" t="s">
        <v>206</v>
      </c>
      <c r="B15" s="38">
        <v>45666</v>
      </c>
      <c r="C15" s="37" t="s">
        <v>57</v>
      </c>
      <c r="D15" s="37" t="s">
        <v>17</v>
      </c>
      <c r="E15" s="37" t="s">
        <v>32</v>
      </c>
      <c r="F15" s="39">
        <v>4</v>
      </c>
      <c r="G15" s="39">
        <v>8899</v>
      </c>
      <c r="H15" s="39">
        <v>7000</v>
      </c>
      <c r="I15" s="37" t="s">
        <v>33</v>
      </c>
      <c r="J15" s="37" t="s">
        <v>26</v>
      </c>
      <c r="K15" s="40">
        <f>Table1[[#This Row],[Quantity]]*Table1[[#This Row],[Unit Price]]</f>
        <v>35596</v>
      </c>
      <c r="L15" s="39">
        <f>Table1[[#This Row],[Revenue]]-Table1[[#This Row],[Cost Price]]*Table1[[#This Row],[Quantity]]</f>
        <v>7596</v>
      </c>
      <c r="M15" s="41">
        <f>IFERROR(Table1[[#This Row],[Profit]]/Table1[[#This Row],[Revenue]],"")</f>
        <v>0.21339476345656816</v>
      </c>
      <c r="N15" s="22"/>
      <c r="O15" s="49" t="s">
        <v>206</v>
      </c>
      <c r="P15" s="50" cm="1">
        <f t="array" ref="P15:AA15">_xlfn.XLOOKUP(O15,Table1[Order ID],Table1[[Order Date]:[Profit Margin]],0,0,1)</f>
        <v>45666</v>
      </c>
      <c r="Q15" s="37" t="str">
        <v>Water Purifier</v>
      </c>
      <c r="R15" s="37" t="str">
        <v>Appliances</v>
      </c>
      <c r="S15" s="37" t="str">
        <v>North</v>
      </c>
      <c r="T15" s="37">
        <v>4</v>
      </c>
      <c r="U15" s="37">
        <v>8899</v>
      </c>
      <c r="V15" s="37">
        <v>7000</v>
      </c>
      <c r="W15" s="37" t="str">
        <v>Shipped</v>
      </c>
      <c r="X15" s="37" t="str">
        <v>Credit Card</v>
      </c>
      <c r="Y15" s="37">
        <v>35596</v>
      </c>
      <c r="Z15" s="37">
        <v>7596</v>
      </c>
      <c r="AA15" s="51">
        <v>0.21339476345656816</v>
      </c>
      <c r="AB15" s="15"/>
    </row>
    <row r="16" spans="1:28" x14ac:dyDescent="0.3">
      <c r="A16" s="22" t="s">
        <v>306</v>
      </c>
      <c r="B16" s="23">
        <v>45666</v>
      </c>
      <c r="C16" s="22" t="s">
        <v>91</v>
      </c>
      <c r="D16" s="22" t="s">
        <v>38</v>
      </c>
      <c r="E16" s="22" t="s">
        <v>13</v>
      </c>
      <c r="F16" s="24">
        <v>5</v>
      </c>
      <c r="G16" s="24">
        <v>899</v>
      </c>
      <c r="H16" s="24">
        <v>500</v>
      </c>
      <c r="I16" s="22" t="s">
        <v>19</v>
      </c>
      <c r="J16" s="22" t="s">
        <v>55</v>
      </c>
      <c r="K16" s="25">
        <f>Table1[[#This Row],[Quantity]]*Table1[[#This Row],[Unit Price]]</f>
        <v>4495</v>
      </c>
      <c r="L16" s="24">
        <f>Table1[[#This Row],[Revenue]]-Table1[[#This Row],[Cost Price]]*Table1[[#This Row],[Quantity]]</f>
        <v>1995</v>
      </c>
      <c r="M16" s="26">
        <f>IFERROR(Table1[[#This Row],[Profit]]/Table1[[#This Row],[Revenue]],"")</f>
        <v>0.44382647385984425</v>
      </c>
      <c r="N16" s="22"/>
      <c r="O16" s="42" t="s">
        <v>306</v>
      </c>
      <c r="P16" s="27" cm="1">
        <f t="array" ref="P16:AA16">_xlfn.XLOOKUP(O16,Table1[Order ID],Table1[[Order Date]:[Profit Margin]],0,0,1)</f>
        <v>45666</v>
      </c>
      <c r="Q16" s="22" t="str">
        <v>LED Desk Lamp</v>
      </c>
      <c r="R16" s="22" t="str">
        <v>Home Decor</v>
      </c>
      <c r="S16" s="22" t="str">
        <v>South</v>
      </c>
      <c r="T16" s="22">
        <v>5</v>
      </c>
      <c r="U16" s="22">
        <v>899</v>
      </c>
      <c r="V16" s="22">
        <v>500</v>
      </c>
      <c r="W16" s="22" t="str">
        <v>Delivered</v>
      </c>
      <c r="X16" s="22" t="str">
        <v>Net Banking</v>
      </c>
      <c r="Y16" s="22">
        <v>4495</v>
      </c>
      <c r="Z16" s="22">
        <v>1995</v>
      </c>
      <c r="AA16" s="43">
        <v>0.44382647385984425</v>
      </c>
      <c r="AB16" s="15"/>
    </row>
    <row r="17" spans="1:28" x14ac:dyDescent="0.3">
      <c r="A17" s="37" t="s">
        <v>231</v>
      </c>
      <c r="B17" s="38">
        <v>45673</v>
      </c>
      <c r="C17" s="37" t="s">
        <v>16</v>
      </c>
      <c r="D17" s="37" t="s">
        <v>17</v>
      </c>
      <c r="E17" s="37" t="s">
        <v>32</v>
      </c>
      <c r="F17" s="39">
        <v>4</v>
      </c>
      <c r="G17" s="39">
        <v>3299</v>
      </c>
      <c r="H17" s="39">
        <v>2500</v>
      </c>
      <c r="I17" s="37" t="s">
        <v>33</v>
      </c>
      <c r="J17" s="37" t="s">
        <v>34</v>
      </c>
      <c r="K17" s="40">
        <f>Table1[[#This Row],[Quantity]]*Table1[[#This Row],[Unit Price]]</f>
        <v>13196</v>
      </c>
      <c r="L17" s="39">
        <f>Table1[[#This Row],[Revenue]]-Table1[[#This Row],[Cost Price]]*Table1[[#This Row],[Quantity]]</f>
        <v>3196</v>
      </c>
      <c r="M17" s="41">
        <f>IFERROR(Table1[[#This Row],[Profit]]/Table1[[#This Row],[Revenue]],"")</f>
        <v>0.24219460442558352</v>
      </c>
      <c r="N17" s="22"/>
      <c r="O17" s="49" t="s">
        <v>231</v>
      </c>
      <c r="P17" s="50" cm="1">
        <f t="array" ref="P17:AA17">_xlfn.XLOOKUP(O17,Table1[Order ID],Table1[[Order Date]:[Profit Margin]],0,0,1)</f>
        <v>45673</v>
      </c>
      <c r="Q17" s="37" t="str">
        <v>Mixer Grinder</v>
      </c>
      <c r="R17" s="37" t="str">
        <v>Appliances</v>
      </c>
      <c r="S17" s="37" t="str">
        <v>North</v>
      </c>
      <c r="T17" s="37">
        <v>4</v>
      </c>
      <c r="U17" s="37">
        <v>3299</v>
      </c>
      <c r="V17" s="37">
        <v>2500</v>
      </c>
      <c r="W17" s="37" t="str">
        <v>Shipped</v>
      </c>
      <c r="X17" s="37" t="str">
        <v>UPI</v>
      </c>
      <c r="Y17" s="37">
        <v>13196</v>
      </c>
      <c r="Z17" s="37">
        <v>3196</v>
      </c>
      <c r="AA17" s="51">
        <v>0.24219460442558352</v>
      </c>
      <c r="AB17" s="15"/>
    </row>
    <row r="18" spans="1:28" x14ac:dyDescent="0.3">
      <c r="A18" s="22" t="s">
        <v>325</v>
      </c>
      <c r="B18" s="23">
        <v>45673</v>
      </c>
      <c r="C18" s="22" t="s">
        <v>44</v>
      </c>
      <c r="D18" s="22" t="s">
        <v>31</v>
      </c>
      <c r="E18" s="22" t="s">
        <v>28</v>
      </c>
      <c r="F18" s="24">
        <v>8</v>
      </c>
      <c r="G18" s="24">
        <v>12799</v>
      </c>
      <c r="H18" s="24">
        <v>10800</v>
      </c>
      <c r="I18" s="22" t="s">
        <v>19</v>
      </c>
      <c r="J18" s="22" t="s">
        <v>26</v>
      </c>
      <c r="K18" s="25">
        <f>Table1[[#This Row],[Quantity]]*Table1[[#This Row],[Unit Price]]</f>
        <v>102392</v>
      </c>
      <c r="L18" s="24">
        <f>Table1[[#This Row],[Revenue]]-Table1[[#This Row],[Cost Price]]*Table1[[#This Row],[Quantity]]</f>
        <v>15992</v>
      </c>
      <c r="M18" s="26">
        <f>IFERROR(Table1[[#This Row],[Profit]]/Table1[[#This Row],[Revenue]],"")</f>
        <v>0.15618407688100633</v>
      </c>
      <c r="N18" s="22"/>
      <c r="O18" s="42" t="s">
        <v>325</v>
      </c>
      <c r="P18" s="27" cm="1">
        <f t="array" ref="P18:AA18">_xlfn.XLOOKUP(O18,Table1[Order ID],Table1[[Order Date]:[Profit Margin]],0,0,1)</f>
        <v>45673</v>
      </c>
      <c r="Q18" s="22" t="str">
        <v>Samsung Galaxy M14</v>
      </c>
      <c r="R18" s="22" t="str">
        <v>Electronics</v>
      </c>
      <c r="S18" s="22" t="str">
        <v>East</v>
      </c>
      <c r="T18" s="22">
        <v>8</v>
      </c>
      <c r="U18" s="22">
        <v>12799</v>
      </c>
      <c r="V18" s="22">
        <v>10800</v>
      </c>
      <c r="W18" s="22" t="str">
        <v>Delivered</v>
      </c>
      <c r="X18" s="22" t="str">
        <v>Credit Card</v>
      </c>
      <c r="Y18" s="22">
        <v>102392</v>
      </c>
      <c r="Z18" s="22">
        <v>15992</v>
      </c>
      <c r="AA18" s="43">
        <v>0.15618407688100633</v>
      </c>
      <c r="AB18" s="15"/>
    </row>
    <row r="19" spans="1:28" x14ac:dyDescent="0.3">
      <c r="A19" s="37" t="s">
        <v>125</v>
      </c>
      <c r="B19" s="38">
        <v>45674</v>
      </c>
      <c r="C19" s="37" t="s">
        <v>54</v>
      </c>
      <c r="D19" s="37" t="s">
        <v>27</v>
      </c>
      <c r="E19" s="37" t="s">
        <v>13</v>
      </c>
      <c r="F19" s="39">
        <v>1</v>
      </c>
      <c r="G19" s="39">
        <v>199</v>
      </c>
      <c r="H19" s="39">
        <v>180</v>
      </c>
      <c r="I19" s="37" t="s">
        <v>33</v>
      </c>
      <c r="J19" s="37" t="s">
        <v>47</v>
      </c>
      <c r="K19" s="40">
        <f>Table1[[#This Row],[Quantity]]*Table1[[#This Row],[Unit Price]]</f>
        <v>199</v>
      </c>
      <c r="L19" s="39">
        <f>Table1[[#This Row],[Revenue]]-Table1[[#This Row],[Cost Price]]*Table1[[#This Row],[Quantity]]</f>
        <v>19</v>
      </c>
      <c r="M19" s="41">
        <f>IFERROR(Table1[[#This Row],[Profit]]/Table1[[#This Row],[Revenue]],"")</f>
        <v>9.5477386934673364E-2</v>
      </c>
      <c r="N19" s="22"/>
      <c r="O19" s="49" t="s">
        <v>125</v>
      </c>
      <c r="P19" s="50" cm="1">
        <f t="array" ref="P19:AA19">_xlfn.XLOOKUP(O19,Table1[Order ID],Table1[[Order Date]:[Profit Margin]],0,0,1)</f>
        <v>45674</v>
      </c>
      <c r="Q19" s="37" t="str">
        <v>Printer Paper</v>
      </c>
      <c r="R19" s="37" t="str">
        <v>Stationery</v>
      </c>
      <c r="S19" s="37" t="str">
        <v>South</v>
      </c>
      <c r="T19" s="37">
        <v>1</v>
      </c>
      <c r="U19" s="37">
        <v>199</v>
      </c>
      <c r="V19" s="37">
        <v>180</v>
      </c>
      <c r="W19" s="37" t="str">
        <v>Shipped</v>
      </c>
      <c r="X19" s="37" t="str">
        <v>Debit Card</v>
      </c>
      <c r="Y19" s="37">
        <v>199</v>
      </c>
      <c r="Z19" s="37">
        <v>19</v>
      </c>
      <c r="AA19" s="51">
        <v>9.5477386934673364E-2</v>
      </c>
      <c r="AB19" s="15"/>
    </row>
    <row r="20" spans="1:28" x14ac:dyDescent="0.3">
      <c r="A20" s="22" t="s">
        <v>268</v>
      </c>
      <c r="B20" s="23">
        <v>45675</v>
      </c>
      <c r="C20" s="22" t="s">
        <v>11</v>
      </c>
      <c r="D20" s="22" t="s">
        <v>12</v>
      </c>
      <c r="E20" s="22" t="s">
        <v>32</v>
      </c>
      <c r="F20" s="24">
        <v>4</v>
      </c>
      <c r="G20" s="24">
        <v>6999</v>
      </c>
      <c r="H20" s="24">
        <v>5000</v>
      </c>
      <c r="I20" s="22" t="s">
        <v>19</v>
      </c>
      <c r="J20" s="22" t="s">
        <v>34</v>
      </c>
      <c r="K20" s="25">
        <f>Table1[[#This Row],[Quantity]]*Table1[[#This Row],[Unit Price]]</f>
        <v>27996</v>
      </c>
      <c r="L20" s="24">
        <f>Table1[[#This Row],[Revenue]]-Table1[[#This Row],[Cost Price]]*Table1[[#This Row],[Quantity]]</f>
        <v>7996</v>
      </c>
      <c r="M20" s="26">
        <f>IFERROR(Table1[[#This Row],[Profit]]/Table1[[#This Row],[Revenue]],"")</f>
        <v>0.28561223031861693</v>
      </c>
      <c r="N20" s="22"/>
      <c r="O20" s="42" t="s">
        <v>268</v>
      </c>
      <c r="P20" s="27" cm="1">
        <f t="array" ref="P20:AA20">_xlfn.XLOOKUP(O20,Table1[Order ID],Table1[[Order Date]:[Profit Margin]],0,0,1)</f>
        <v>45675</v>
      </c>
      <c r="Q20" s="22" t="str">
        <v>Study Table</v>
      </c>
      <c r="R20" s="22" t="str">
        <v>Furniture</v>
      </c>
      <c r="S20" s="22" t="str">
        <v>North</v>
      </c>
      <c r="T20" s="22">
        <v>4</v>
      </c>
      <c r="U20" s="22">
        <v>6999</v>
      </c>
      <c r="V20" s="22">
        <v>5000</v>
      </c>
      <c r="W20" s="22" t="str">
        <v>Delivered</v>
      </c>
      <c r="X20" s="22" t="str">
        <v>UPI</v>
      </c>
      <c r="Y20" s="22">
        <v>27996</v>
      </c>
      <c r="Z20" s="22">
        <v>7996</v>
      </c>
      <c r="AA20" s="43">
        <v>0.28561223031861693</v>
      </c>
      <c r="AB20" s="15"/>
    </row>
    <row r="21" spans="1:28" x14ac:dyDescent="0.3">
      <c r="A21" s="37" t="s">
        <v>88</v>
      </c>
      <c r="B21" s="38">
        <v>45676</v>
      </c>
      <c r="C21" s="37" t="s">
        <v>21</v>
      </c>
      <c r="D21" s="37" t="s">
        <v>22</v>
      </c>
      <c r="E21" s="37" t="s">
        <v>18</v>
      </c>
      <c r="F21" s="39">
        <v>2</v>
      </c>
      <c r="G21" s="39">
        <v>599</v>
      </c>
      <c r="H21" s="39">
        <v>350</v>
      </c>
      <c r="I21" s="37" t="s">
        <v>14</v>
      </c>
      <c r="J21" s="37" t="s">
        <v>47</v>
      </c>
      <c r="K21" s="40">
        <f>Table1[[#This Row],[Quantity]]*Table1[[#This Row],[Unit Price]]</f>
        <v>1198</v>
      </c>
      <c r="L21" s="39">
        <f>Table1[[#This Row],[Revenue]]-Table1[[#This Row],[Cost Price]]*Table1[[#This Row],[Quantity]]</f>
        <v>498</v>
      </c>
      <c r="M21" s="41">
        <f>IFERROR(Table1[[#This Row],[Profit]]/Table1[[#This Row],[Revenue]],"")</f>
        <v>0.41569282136894825</v>
      </c>
      <c r="N21" s="22"/>
      <c r="O21" s="49" t="s">
        <v>88</v>
      </c>
      <c r="P21" s="50" cm="1">
        <f t="array" ref="P21:AA21">_xlfn.XLOOKUP(O21,Table1[Order ID],Table1[[Order Date]:[Profit Margin]],0,0,1)</f>
        <v>45676</v>
      </c>
      <c r="Q21" s="37" t="str">
        <v>Cotton T-Shirt</v>
      </c>
      <c r="R21" s="37" t="str">
        <v>Fashion</v>
      </c>
      <c r="S21" s="37" t="str">
        <v>Central</v>
      </c>
      <c r="T21" s="37">
        <v>2</v>
      </c>
      <c r="U21" s="37">
        <v>599</v>
      </c>
      <c r="V21" s="37">
        <v>350</v>
      </c>
      <c r="W21" s="37" t="str">
        <v>Returned</v>
      </c>
      <c r="X21" s="37" t="str">
        <v>Debit Card</v>
      </c>
      <c r="Y21" s="37">
        <v>1198</v>
      </c>
      <c r="Z21" s="37">
        <v>498</v>
      </c>
      <c r="AA21" s="51">
        <v>0.41569282136894825</v>
      </c>
      <c r="AB21" s="15"/>
    </row>
    <row r="22" spans="1:28" x14ac:dyDescent="0.3">
      <c r="A22" s="22" t="s">
        <v>67</v>
      </c>
      <c r="B22" s="23">
        <v>45679</v>
      </c>
      <c r="C22" s="22" t="s">
        <v>44</v>
      </c>
      <c r="D22" s="22" t="s">
        <v>31</v>
      </c>
      <c r="E22" s="22" t="s">
        <v>18</v>
      </c>
      <c r="F22" s="24">
        <v>5</v>
      </c>
      <c r="G22" s="24">
        <v>13099</v>
      </c>
      <c r="H22" s="24">
        <v>10800</v>
      </c>
      <c r="I22" s="22" t="s">
        <v>19</v>
      </c>
      <c r="J22" s="22" t="s">
        <v>34</v>
      </c>
      <c r="K22" s="25">
        <f>Table1[[#This Row],[Quantity]]*Table1[[#This Row],[Unit Price]]</f>
        <v>65495</v>
      </c>
      <c r="L22" s="24">
        <f>Table1[[#This Row],[Revenue]]-Table1[[#This Row],[Cost Price]]*Table1[[#This Row],[Quantity]]</f>
        <v>11495</v>
      </c>
      <c r="M22" s="26">
        <f>IFERROR(Table1[[#This Row],[Profit]]/Table1[[#This Row],[Revenue]],"")</f>
        <v>0.17550958088403695</v>
      </c>
      <c r="N22" s="22"/>
      <c r="O22" s="42" t="s">
        <v>67</v>
      </c>
      <c r="P22" s="27" cm="1">
        <f t="array" ref="P22:AA22">_xlfn.XLOOKUP(O22,Table1[Order ID],Table1[[Order Date]:[Profit Margin]],0,0,1)</f>
        <v>45679</v>
      </c>
      <c r="Q22" s="22" t="str">
        <v>Samsung Galaxy M14</v>
      </c>
      <c r="R22" s="22" t="str">
        <v>Electronics</v>
      </c>
      <c r="S22" s="22" t="str">
        <v>Central</v>
      </c>
      <c r="T22" s="22">
        <v>5</v>
      </c>
      <c r="U22" s="22">
        <v>13099</v>
      </c>
      <c r="V22" s="22">
        <v>10800</v>
      </c>
      <c r="W22" s="22" t="str">
        <v>Delivered</v>
      </c>
      <c r="X22" s="22" t="str">
        <v>UPI</v>
      </c>
      <c r="Y22" s="22">
        <v>65495</v>
      </c>
      <c r="Z22" s="22">
        <v>11495</v>
      </c>
      <c r="AA22" s="43">
        <v>0.17550958088403695</v>
      </c>
      <c r="AB22" s="15"/>
    </row>
    <row r="23" spans="1:28" x14ac:dyDescent="0.3">
      <c r="A23" s="37" t="s">
        <v>109</v>
      </c>
      <c r="B23" s="38">
        <v>45679</v>
      </c>
      <c r="C23" s="37" t="s">
        <v>37</v>
      </c>
      <c r="D23" s="37" t="s">
        <v>38</v>
      </c>
      <c r="E23" s="37" t="s">
        <v>32</v>
      </c>
      <c r="F23" s="39">
        <v>10</v>
      </c>
      <c r="G23" s="39">
        <v>249</v>
      </c>
      <c r="H23" s="39">
        <v>90</v>
      </c>
      <c r="I23" s="37" t="s">
        <v>19</v>
      </c>
      <c r="J23" s="37" t="s">
        <v>47</v>
      </c>
      <c r="K23" s="40">
        <f>Table1[[#This Row],[Quantity]]*Table1[[#This Row],[Unit Price]]</f>
        <v>2490</v>
      </c>
      <c r="L23" s="39">
        <f>Table1[[#This Row],[Revenue]]-Table1[[#This Row],[Cost Price]]*Table1[[#This Row],[Quantity]]</f>
        <v>1590</v>
      </c>
      <c r="M23" s="41">
        <f>IFERROR(Table1[[#This Row],[Profit]]/Table1[[#This Row],[Revenue]],"")</f>
        <v>0.63855421686746983</v>
      </c>
      <c r="N23" s="22"/>
      <c r="O23" s="49" t="s">
        <v>109</v>
      </c>
      <c r="P23" s="50" cm="1">
        <f t="array" ref="P23:AA23">_xlfn.XLOOKUP(O23,Table1[Order ID],Table1[[Order Date]:[Profit Margin]],0,0,1)</f>
        <v>45679</v>
      </c>
      <c r="Q23" s="37" t="str">
        <v>Coffee Mug</v>
      </c>
      <c r="R23" s="37" t="str">
        <v>Home Decor</v>
      </c>
      <c r="S23" s="37" t="str">
        <v>North</v>
      </c>
      <c r="T23" s="37">
        <v>10</v>
      </c>
      <c r="U23" s="37">
        <v>249</v>
      </c>
      <c r="V23" s="37">
        <v>90</v>
      </c>
      <c r="W23" s="37" t="str">
        <v>Delivered</v>
      </c>
      <c r="X23" s="37" t="str">
        <v>Debit Card</v>
      </c>
      <c r="Y23" s="37">
        <v>2490</v>
      </c>
      <c r="Z23" s="37">
        <v>1590</v>
      </c>
      <c r="AA23" s="51">
        <v>0.63855421686746983</v>
      </c>
      <c r="AB23" s="15"/>
    </row>
    <row r="24" spans="1:28" x14ac:dyDescent="0.3">
      <c r="A24" s="22" t="s">
        <v>207</v>
      </c>
      <c r="B24" s="23">
        <v>45680</v>
      </c>
      <c r="C24" s="22" t="s">
        <v>51</v>
      </c>
      <c r="D24" s="22" t="s">
        <v>31</v>
      </c>
      <c r="E24" s="22" t="s">
        <v>13</v>
      </c>
      <c r="F24" s="24">
        <v>2</v>
      </c>
      <c r="G24" s="24">
        <v>2799</v>
      </c>
      <c r="H24" s="24">
        <v>1800</v>
      </c>
      <c r="I24" s="22" t="s">
        <v>14</v>
      </c>
      <c r="J24" s="22" t="s">
        <v>52</v>
      </c>
      <c r="K24" s="25">
        <f>Table1[[#This Row],[Quantity]]*Table1[[#This Row],[Unit Price]]</f>
        <v>5598</v>
      </c>
      <c r="L24" s="24">
        <f>Table1[[#This Row],[Revenue]]-Table1[[#This Row],[Cost Price]]*Table1[[#This Row],[Quantity]]</f>
        <v>1998</v>
      </c>
      <c r="M24" s="26">
        <f>IFERROR(Table1[[#This Row],[Profit]]/Table1[[#This Row],[Revenue]],"")</f>
        <v>0.35691318327974275</v>
      </c>
      <c r="N24" s="22"/>
      <c r="O24" s="42" t="s">
        <v>207</v>
      </c>
      <c r="P24" s="27" cm="1">
        <f t="array" ref="P24:AA24">_xlfn.XLOOKUP(O24,Table1[Order ID],Table1[[Order Date]:[Profit Margin]],0,0,1)</f>
        <v>45680</v>
      </c>
      <c r="Q24" s="22" t="str">
        <v>Bluetooth Speaker</v>
      </c>
      <c r="R24" s="22" t="str">
        <v>Electronics</v>
      </c>
      <c r="S24" s="22" t="str">
        <v>South</v>
      </c>
      <c r="T24" s="22">
        <v>2</v>
      </c>
      <c r="U24" s="22">
        <v>2799</v>
      </c>
      <c r="V24" s="22">
        <v>1800</v>
      </c>
      <c r="W24" s="22" t="str">
        <v>Returned</v>
      </c>
      <c r="X24" s="22" t="str">
        <v>Cash</v>
      </c>
      <c r="Y24" s="22">
        <v>5598</v>
      </c>
      <c r="Z24" s="22">
        <v>1998</v>
      </c>
      <c r="AA24" s="43">
        <v>0.35691318327974275</v>
      </c>
      <c r="AB24" s="15"/>
    </row>
    <row r="25" spans="1:28" x14ac:dyDescent="0.3">
      <c r="A25" s="37" t="s">
        <v>108</v>
      </c>
      <c r="B25" s="38">
        <v>45681</v>
      </c>
      <c r="C25" s="37" t="s">
        <v>11</v>
      </c>
      <c r="D25" s="37" t="s">
        <v>12</v>
      </c>
      <c r="E25" s="37" t="s">
        <v>32</v>
      </c>
      <c r="F25" s="39">
        <v>3</v>
      </c>
      <c r="G25" s="39">
        <v>7099</v>
      </c>
      <c r="H25" s="39">
        <v>5000</v>
      </c>
      <c r="I25" s="37" t="s">
        <v>41</v>
      </c>
      <c r="J25" s="37" t="s">
        <v>52</v>
      </c>
      <c r="K25" s="40">
        <f>Table1[[#This Row],[Quantity]]*Table1[[#This Row],[Unit Price]]</f>
        <v>21297</v>
      </c>
      <c r="L25" s="39">
        <f>Table1[[#This Row],[Revenue]]-Table1[[#This Row],[Cost Price]]*Table1[[#This Row],[Quantity]]</f>
        <v>6297</v>
      </c>
      <c r="M25" s="41">
        <f>IFERROR(Table1[[#This Row],[Profit]]/Table1[[#This Row],[Revenue]],"")</f>
        <v>0.29567544724609102</v>
      </c>
      <c r="N25" s="22"/>
      <c r="O25" s="49" t="s">
        <v>108</v>
      </c>
      <c r="P25" s="50" cm="1">
        <f t="array" ref="P25:AA25">_xlfn.XLOOKUP(O25,Table1[Order ID],Table1[[Order Date]:[Profit Margin]],0,0,1)</f>
        <v>45681</v>
      </c>
      <c r="Q25" s="37" t="str">
        <v>Study Table</v>
      </c>
      <c r="R25" s="37" t="str">
        <v>Furniture</v>
      </c>
      <c r="S25" s="37" t="str">
        <v>North</v>
      </c>
      <c r="T25" s="37">
        <v>3</v>
      </c>
      <c r="U25" s="37">
        <v>7099</v>
      </c>
      <c r="V25" s="37">
        <v>5000</v>
      </c>
      <c r="W25" s="37" t="str">
        <v>Processing</v>
      </c>
      <c r="X25" s="37" t="str">
        <v>Cash</v>
      </c>
      <c r="Y25" s="37">
        <v>21297</v>
      </c>
      <c r="Z25" s="37">
        <v>6297</v>
      </c>
      <c r="AA25" s="51">
        <v>0.29567544724609102</v>
      </c>
      <c r="AB25" s="15"/>
    </row>
    <row r="26" spans="1:28" x14ac:dyDescent="0.3">
      <c r="A26" s="22" t="s">
        <v>62</v>
      </c>
      <c r="B26" s="23">
        <v>45683</v>
      </c>
      <c r="C26" s="22" t="s">
        <v>51</v>
      </c>
      <c r="D26" s="22" t="s">
        <v>31</v>
      </c>
      <c r="E26" s="22" t="s">
        <v>32</v>
      </c>
      <c r="F26" s="24">
        <v>2</v>
      </c>
      <c r="G26" s="24">
        <v>2899</v>
      </c>
      <c r="H26" s="24">
        <v>1800</v>
      </c>
      <c r="I26" s="22" t="s">
        <v>24</v>
      </c>
      <c r="J26" s="22" t="s">
        <v>26</v>
      </c>
      <c r="K26" s="25">
        <f>Table1[[#This Row],[Quantity]]*Table1[[#This Row],[Unit Price]]</f>
        <v>5798</v>
      </c>
      <c r="L26" s="24">
        <f>Table1[[#This Row],[Revenue]]-Table1[[#This Row],[Cost Price]]*Table1[[#This Row],[Quantity]]</f>
        <v>2198</v>
      </c>
      <c r="M26" s="26">
        <f>IFERROR(Table1[[#This Row],[Profit]]/Table1[[#This Row],[Revenue]],"")</f>
        <v>0.37909624008278719</v>
      </c>
      <c r="N26" s="22"/>
      <c r="O26" s="42" t="s">
        <v>62</v>
      </c>
      <c r="P26" s="27" cm="1">
        <f t="array" ref="P26:AA26">_xlfn.XLOOKUP(O26,Table1[Order ID],Table1[[Order Date]:[Profit Margin]],0,0,1)</f>
        <v>45683</v>
      </c>
      <c r="Q26" s="22" t="str">
        <v>Bluetooth Speaker</v>
      </c>
      <c r="R26" s="22" t="str">
        <v>Electronics</v>
      </c>
      <c r="S26" s="22" t="str">
        <v>North</v>
      </c>
      <c r="T26" s="22">
        <v>2</v>
      </c>
      <c r="U26" s="22">
        <v>2899</v>
      </c>
      <c r="V26" s="22">
        <v>1800</v>
      </c>
      <c r="W26" s="22" t="str">
        <v>Cancelled</v>
      </c>
      <c r="X26" s="22" t="str">
        <v>Credit Card</v>
      </c>
      <c r="Y26" s="22">
        <v>5798</v>
      </c>
      <c r="Z26" s="22">
        <v>2198</v>
      </c>
      <c r="AA26" s="43">
        <v>0.37909624008278719</v>
      </c>
      <c r="AB26" s="15"/>
    </row>
    <row r="27" spans="1:28" x14ac:dyDescent="0.3">
      <c r="A27" s="37" t="s">
        <v>242</v>
      </c>
      <c r="B27" s="38">
        <v>45683</v>
      </c>
      <c r="C27" s="37" t="s">
        <v>91</v>
      </c>
      <c r="D27" s="37" t="s">
        <v>38</v>
      </c>
      <c r="E27" s="37" t="s">
        <v>23</v>
      </c>
      <c r="F27" s="39">
        <v>2</v>
      </c>
      <c r="G27" s="39">
        <v>699</v>
      </c>
      <c r="H27" s="39">
        <v>500</v>
      </c>
      <c r="I27" s="37" t="s">
        <v>24</v>
      </c>
      <c r="J27" s="37" t="s">
        <v>26</v>
      </c>
      <c r="K27" s="40">
        <f>Table1[[#This Row],[Quantity]]*Table1[[#This Row],[Unit Price]]</f>
        <v>1398</v>
      </c>
      <c r="L27" s="39">
        <f>Table1[[#This Row],[Revenue]]-Table1[[#This Row],[Cost Price]]*Table1[[#This Row],[Quantity]]</f>
        <v>398</v>
      </c>
      <c r="M27" s="41">
        <f>IFERROR(Table1[[#This Row],[Profit]]/Table1[[#This Row],[Revenue]],"")</f>
        <v>0.28469241773962806</v>
      </c>
      <c r="N27" s="22"/>
      <c r="O27" s="49" t="s">
        <v>242</v>
      </c>
      <c r="P27" s="50" cm="1">
        <f t="array" ref="P27:AA27">_xlfn.XLOOKUP(O27,Table1[Order ID],Table1[[Order Date]:[Profit Margin]],0,0,1)</f>
        <v>45683</v>
      </c>
      <c r="Q27" s="37" t="str">
        <v>LED Desk Lamp</v>
      </c>
      <c r="R27" s="37" t="str">
        <v>Home Decor</v>
      </c>
      <c r="S27" s="37" t="str">
        <v>West</v>
      </c>
      <c r="T27" s="37">
        <v>2</v>
      </c>
      <c r="U27" s="37">
        <v>699</v>
      </c>
      <c r="V27" s="37">
        <v>500</v>
      </c>
      <c r="W27" s="37" t="str">
        <v>Cancelled</v>
      </c>
      <c r="X27" s="37" t="str">
        <v>Credit Card</v>
      </c>
      <c r="Y27" s="37">
        <v>1398</v>
      </c>
      <c r="Z27" s="37">
        <v>398</v>
      </c>
      <c r="AA27" s="51">
        <v>0.28469241773962806</v>
      </c>
      <c r="AB27" s="15"/>
    </row>
    <row r="28" spans="1:28" x14ac:dyDescent="0.3">
      <c r="A28" s="22" t="s">
        <v>158</v>
      </c>
      <c r="B28" s="23">
        <v>45684</v>
      </c>
      <c r="C28" s="22" t="s">
        <v>30</v>
      </c>
      <c r="D28" s="22" t="s">
        <v>31</v>
      </c>
      <c r="E28" s="22" t="s">
        <v>32</v>
      </c>
      <c r="F28" s="24">
        <v>2</v>
      </c>
      <c r="G28" s="24">
        <v>16099</v>
      </c>
      <c r="H28" s="24">
        <v>13500</v>
      </c>
      <c r="I28" s="22" t="s">
        <v>19</v>
      </c>
      <c r="J28" s="22" t="s">
        <v>26</v>
      </c>
      <c r="K28" s="25">
        <f>Table1[[#This Row],[Quantity]]*Table1[[#This Row],[Unit Price]]</f>
        <v>32198</v>
      </c>
      <c r="L28" s="24">
        <f>Table1[[#This Row],[Revenue]]-Table1[[#This Row],[Cost Price]]*Table1[[#This Row],[Quantity]]</f>
        <v>5198</v>
      </c>
      <c r="M28" s="26">
        <f>IFERROR(Table1[[#This Row],[Profit]]/Table1[[#This Row],[Revenue]],"")</f>
        <v>0.16143859867072488</v>
      </c>
      <c r="N28" s="22"/>
      <c r="O28" s="42" t="s">
        <v>158</v>
      </c>
      <c r="P28" s="27" cm="1">
        <f t="array" ref="P28:AA28">_xlfn.XLOOKUP(O28,Table1[Order ID],Table1[[Order Date]:[Profit Margin]],0,0,1)</f>
        <v>45684</v>
      </c>
      <c r="Q28" s="22" t="str">
        <v>Redmi Note 13</v>
      </c>
      <c r="R28" s="22" t="str">
        <v>Electronics</v>
      </c>
      <c r="S28" s="22" t="str">
        <v>North</v>
      </c>
      <c r="T28" s="22">
        <v>2</v>
      </c>
      <c r="U28" s="22">
        <v>16099</v>
      </c>
      <c r="V28" s="22">
        <v>13500</v>
      </c>
      <c r="W28" s="22" t="str">
        <v>Delivered</v>
      </c>
      <c r="X28" s="22" t="str">
        <v>Credit Card</v>
      </c>
      <c r="Y28" s="22">
        <v>32198</v>
      </c>
      <c r="Z28" s="22">
        <v>5198</v>
      </c>
      <c r="AA28" s="43">
        <v>0.16143859867072488</v>
      </c>
      <c r="AB28" s="15"/>
    </row>
    <row r="29" spans="1:28" x14ac:dyDescent="0.3">
      <c r="A29" s="37" t="s">
        <v>263</v>
      </c>
      <c r="B29" s="38">
        <v>45687</v>
      </c>
      <c r="C29" s="37" t="s">
        <v>11</v>
      </c>
      <c r="D29" s="37" t="s">
        <v>12</v>
      </c>
      <c r="E29" s="37" t="s">
        <v>32</v>
      </c>
      <c r="F29" s="39">
        <v>8</v>
      </c>
      <c r="G29" s="39">
        <v>6899</v>
      </c>
      <c r="H29" s="39">
        <v>5000</v>
      </c>
      <c r="I29" s="37" t="s">
        <v>14</v>
      </c>
      <c r="J29" s="37" t="s">
        <v>26</v>
      </c>
      <c r="K29" s="40">
        <f>Table1[[#This Row],[Quantity]]*Table1[[#This Row],[Unit Price]]</f>
        <v>55192</v>
      </c>
      <c r="L29" s="39">
        <f>Table1[[#This Row],[Revenue]]-Table1[[#This Row],[Cost Price]]*Table1[[#This Row],[Quantity]]</f>
        <v>15192</v>
      </c>
      <c r="M29" s="41">
        <f>IFERROR(Table1[[#This Row],[Profit]]/Table1[[#This Row],[Revenue]],"")</f>
        <v>0.27525728366429919</v>
      </c>
      <c r="N29" s="22"/>
      <c r="O29" s="49" t="s">
        <v>263</v>
      </c>
      <c r="P29" s="50" cm="1">
        <f t="array" ref="P29:AA29">_xlfn.XLOOKUP(O29,Table1[Order ID],Table1[[Order Date]:[Profit Margin]],0,0,1)</f>
        <v>45687</v>
      </c>
      <c r="Q29" s="37" t="str">
        <v>Study Table</v>
      </c>
      <c r="R29" s="37" t="str">
        <v>Furniture</v>
      </c>
      <c r="S29" s="37" t="str">
        <v>North</v>
      </c>
      <c r="T29" s="37">
        <v>8</v>
      </c>
      <c r="U29" s="37">
        <v>6899</v>
      </c>
      <c r="V29" s="37">
        <v>5000</v>
      </c>
      <c r="W29" s="37" t="str">
        <v>Returned</v>
      </c>
      <c r="X29" s="37" t="str">
        <v>Credit Card</v>
      </c>
      <c r="Y29" s="37">
        <v>55192</v>
      </c>
      <c r="Z29" s="37">
        <v>15192</v>
      </c>
      <c r="AA29" s="51">
        <v>0.27525728366429919</v>
      </c>
      <c r="AB29" s="15"/>
    </row>
    <row r="30" spans="1:28" x14ac:dyDescent="0.3">
      <c r="A30" s="22" t="s">
        <v>143</v>
      </c>
      <c r="B30" s="23">
        <v>45689</v>
      </c>
      <c r="C30" s="22" t="s">
        <v>21</v>
      </c>
      <c r="D30" s="22" t="s">
        <v>22</v>
      </c>
      <c r="E30" s="22" t="s">
        <v>13</v>
      </c>
      <c r="F30" s="24">
        <v>10</v>
      </c>
      <c r="G30" s="24">
        <v>699</v>
      </c>
      <c r="H30" s="24">
        <v>350</v>
      </c>
      <c r="I30" s="22" t="s">
        <v>41</v>
      </c>
      <c r="J30" s="22" t="s">
        <v>34</v>
      </c>
      <c r="K30" s="25">
        <f>Table1[[#This Row],[Quantity]]*Table1[[#This Row],[Unit Price]]</f>
        <v>6990</v>
      </c>
      <c r="L30" s="24">
        <f>Table1[[#This Row],[Revenue]]-Table1[[#This Row],[Cost Price]]*Table1[[#This Row],[Quantity]]</f>
        <v>3490</v>
      </c>
      <c r="M30" s="26">
        <f>IFERROR(Table1[[#This Row],[Profit]]/Table1[[#This Row],[Revenue]],"")</f>
        <v>0.49928469241773965</v>
      </c>
      <c r="N30" s="22"/>
      <c r="O30" s="42" t="s">
        <v>143</v>
      </c>
      <c r="P30" s="27" cm="1">
        <f t="array" ref="P30:AA30">_xlfn.XLOOKUP(O30,Table1[Order ID],Table1[[Order Date]:[Profit Margin]],0,0,1)</f>
        <v>45689</v>
      </c>
      <c r="Q30" s="22" t="str">
        <v>Cotton T-Shirt</v>
      </c>
      <c r="R30" s="22" t="str">
        <v>Fashion</v>
      </c>
      <c r="S30" s="22" t="str">
        <v>South</v>
      </c>
      <c r="T30" s="22">
        <v>10</v>
      </c>
      <c r="U30" s="22">
        <v>699</v>
      </c>
      <c r="V30" s="22">
        <v>350</v>
      </c>
      <c r="W30" s="22" t="str">
        <v>Processing</v>
      </c>
      <c r="X30" s="22" t="str">
        <v>UPI</v>
      </c>
      <c r="Y30" s="22">
        <v>6990</v>
      </c>
      <c r="Z30" s="22">
        <v>3490</v>
      </c>
      <c r="AA30" s="43">
        <v>0.49928469241773965</v>
      </c>
      <c r="AB30" s="15"/>
    </row>
    <row r="31" spans="1:28" x14ac:dyDescent="0.3">
      <c r="A31" s="37" t="s">
        <v>86</v>
      </c>
      <c r="B31" s="38">
        <v>45690</v>
      </c>
      <c r="C31" s="37" t="s">
        <v>60</v>
      </c>
      <c r="D31" s="37" t="s">
        <v>31</v>
      </c>
      <c r="E31" s="37" t="s">
        <v>32</v>
      </c>
      <c r="F31" s="39">
        <v>7</v>
      </c>
      <c r="G31" s="39">
        <v>3699</v>
      </c>
      <c r="H31" s="39">
        <v>2400</v>
      </c>
      <c r="I31" s="37" t="s">
        <v>33</v>
      </c>
      <c r="J31" s="37" t="s">
        <v>26</v>
      </c>
      <c r="K31" s="40">
        <f>Table1[[#This Row],[Quantity]]*Table1[[#This Row],[Unit Price]]</f>
        <v>25893</v>
      </c>
      <c r="L31" s="39">
        <f>Table1[[#This Row],[Revenue]]-Table1[[#This Row],[Cost Price]]*Table1[[#This Row],[Quantity]]</f>
        <v>9093</v>
      </c>
      <c r="M31" s="41">
        <f>IFERROR(Table1[[#This Row],[Profit]]/Table1[[#This Row],[Revenue]],"")</f>
        <v>0.35117599351175993</v>
      </c>
      <c r="N31" s="22"/>
      <c r="O31" s="49" t="s">
        <v>86</v>
      </c>
      <c r="P31" s="50" cm="1">
        <f t="array" ref="P31:AA31">_xlfn.XLOOKUP(O31,Table1[Order ID],Table1[[Order Date]:[Profit Margin]],0,0,1)</f>
        <v>45690</v>
      </c>
      <c r="Q31" s="37" t="str">
        <v>Smart Watch</v>
      </c>
      <c r="R31" s="37" t="str">
        <v>Electronics</v>
      </c>
      <c r="S31" s="37" t="str">
        <v>North</v>
      </c>
      <c r="T31" s="37">
        <v>7</v>
      </c>
      <c r="U31" s="37">
        <v>3699</v>
      </c>
      <c r="V31" s="37">
        <v>2400</v>
      </c>
      <c r="W31" s="37" t="str">
        <v>Shipped</v>
      </c>
      <c r="X31" s="37" t="str">
        <v>Credit Card</v>
      </c>
      <c r="Y31" s="37">
        <v>25893</v>
      </c>
      <c r="Z31" s="37">
        <v>9093</v>
      </c>
      <c r="AA31" s="51">
        <v>0.35117599351175993</v>
      </c>
      <c r="AB31" s="15"/>
    </row>
    <row r="32" spans="1:28" x14ac:dyDescent="0.3">
      <c r="A32" s="22" t="s">
        <v>93</v>
      </c>
      <c r="B32" s="23">
        <v>45692</v>
      </c>
      <c r="C32" s="22" t="s">
        <v>54</v>
      </c>
      <c r="D32" s="22" t="s">
        <v>27</v>
      </c>
      <c r="E32" s="22" t="s">
        <v>13</v>
      </c>
      <c r="F32" s="24">
        <v>9</v>
      </c>
      <c r="G32" s="24">
        <v>499</v>
      </c>
      <c r="H32" s="24">
        <v>180</v>
      </c>
      <c r="I32" s="22" t="s">
        <v>33</v>
      </c>
      <c r="J32" s="22" t="s">
        <v>52</v>
      </c>
      <c r="K32" s="25">
        <f>Table1[[#This Row],[Quantity]]*Table1[[#This Row],[Unit Price]]</f>
        <v>4491</v>
      </c>
      <c r="L32" s="24">
        <f>Table1[[#This Row],[Revenue]]-Table1[[#This Row],[Cost Price]]*Table1[[#This Row],[Quantity]]</f>
        <v>2871</v>
      </c>
      <c r="M32" s="26">
        <f>IFERROR(Table1[[#This Row],[Profit]]/Table1[[#This Row],[Revenue]],"")</f>
        <v>0.63927855711422843</v>
      </c>
      <c r="N32" s="22"/>
      <c r="O32" s="42" t="s">
        <v>93</v>
      </c>
      <c r="P32" s="27" cm="1">
        <f t="array" ref="P32:AA32">_xlfn.XLOOKUP(O32,Table1[Order ID],Table1[[Order Date]:[Profit Margin]],0,0,1)</f>
        <v>45692</v>
      </c>
      <c r="Q32" s="22" t="str">
        <v>Printer Paper</v>
      </c>
      <c r="R32" s="22" t="str">
        <v>Stationery</v>
      </c>
      <c r="S32" s="22" t="str">
        <v>South</v>
      </c>
      <c r="T32" s="22">
        <v>9</v>
      </c>
      <c r="U32" s="22">
        <v>499</v>
      </c>
      <c r="V32" s="22">
        <v>180</v>
      </c>
      <c r="W32" s="22" t="str">
        <v>Shipped</v>
      </c>
      <c r="X32" s="22" t="str">
        <v>Cash</v>
      </c>
      <c r="Y32" s="22">
        <v>4491</v>
      </c>
      <c r="Z32" s="22">
        <v>2871</v>
      </c>
      <c r="AA32" s="43">
        <v>0.63927855711422843</v>
      </c>
      <c r="AB32" s="15"/>
    </row>
    <row r="33" spans="1:28" x14ac:dyDescent="0.3">
      <c r="A33" s="37" t="s">
        <v>295</v>
      </c>
      <c r="B33" s="38">
        <v>45692</v>
      </c>
      <c r="C33" s="37" t="s">
        <v>60</v>
      </c>
      <c r="D33" s="37" t="s">
        <v>31</v>
      </c>
      <c r="E33" s="37" t="s">
        <v>23</v>
      </c>
      <c r="F33" s="39">
        <v>7</v>
      </c>
      <c r="G33" s="39">
        <v>3599</v>
      </c>
      <c r="H33" s="39">
        <v>2400</v>
      </c>
      <c r="I33" s="37" t="s">
        <v>19</v>
      </c>
      <c r="J33" s="37" t="s">
        <v>26</v>
      </c>
      <c r="K33" s="40">
        <f>Table1[[#This Row],[Quantity]]*Table1[[#This Row],[Unit Price]]</f>
        <v>25193</v>
      </c>
      <c r="L33" s="39">
        <f>Table1[[#This Row],[Revenue]]-Table1[[#This Row],[Cost Price]]*Table1[[#This Row],[Quantity]]</f>
        <v>8393</v>
      </c>
      <c r="M33" s="41">
        <f>IFERROR(Table1[[#This Row],[Profit]]/Table1[[#This Row],[Revenue]],"")</f>
        <v>0.33314809669352596</v>
      </c>
      <c r="N33" s="22"/>
      <c r="O33" s="49" t="s">
        <v>295</v>
      </c>
      <c r="P33" s="50" cm="1">
        <f t="array" ref="P33:AA33">_xlfn.XLOOKUP(O33,Table1[Order ID],Table1[[Order Date]:[Profit Margin]],0,0,1)</f>
        <v>45692</v>
      </c>
      <c r="Q33" s="37" t="str">
        <v>Smart Watch</v>
      </c>
      <c r="R33" s="37" t="str">
        <v>Electronics</v>
      </c>
      <c r="S33" s="37" t="str">
        <v>West</v>
      </c>
      <c r="T33" s="37">
        <v>7</v>
      </c>
      <c r="U33" s="37">
        <v>3599</v>
      </c>
      <c r="V33" s="37">
        <v>2400</v>
      </c>
      <c r="W33" s="37" t="str">
        <v>Delivered</v>
      </c>
      <c r="X33" s="37" t="str">
        <v>Credit Card</v>
      </c>
      <c r="Y33" s="37">
        <v>25193</v>
      </c>
      <c r="Z33" s="37">
        <v>8393</v>
      </c>
      <c r="AA33" s="51">
        <v>0.33314809669352596</v>
      </c>
      <c r="AB33" s="15"/>
    </row>
    <row r="34" spans="1:28" x14ac:dyDescent="0.3">
      <c r="A34" s="22" t="s">
        <v>35</v>
      </c>
      <c r="B34" s="23">
        <v>45695</v>
      </c>
      <c r="C34" s="22" t="s">
        <v>16</v>
      </c>
      <c r="D34" s="22" t="s">
        <v>17</v>
      </c>
      <c r="E34" s="22" t="s">
        <v>32</v>
      </c>
      <c r="F34" s="24">
        <v>3</v>
      </c>
      <c r="G34" s="24">
        <v>3599</v>
      </c>
      <c r="H34" s="24">
        <v>2500</v>
      </c>
      <c r="I34" s="22" t="s">
        <v>19</v>
      </c>
      <c r="J34" s="22" t="s">
        <v>26</v>
      </c>
      <c r="K34" s="25">
        <f>Table1[[#This Row],[Quantity]]*Table1[[#This Row],[Unit Price]]</f>
        <v>10797</v>
      </c>
      <c r="L34" s="24">
        <f>Table1[[#This Row],[Revenue]]-Table1[[#This Row],[Cost Price]]*Table1[[#This Row],[Quantity]]</f>
        <v>3297</v>
      </c>
      <c r="M34" s="26">
        <f>IFERROR(Table1[[#This Row],[Profit]]/Table1[[#This Row],[Revenue]],"")</f>
        <v>0.30536260072242288</v>
      </c>
      <c r="N34" s="22"/>
      <c r="O34" s="42" t="s">
        <v>35</v>
      </c>
      <c r="P34" s="27" cm="1">
        <f t="array" ref="P34:AA34">_xlfn.XLOOKUP(O34,Table1[Order ID],Table1[[Order Date]:[Profit Margin]],0,0,1)</f>
        <v>45695</v>
      </c>
      <c r="Q34" s="22" t="str">
        <v>Mixer Grinder</v>
      </c>
      <c r="R34" s="22" t="str">
        <v>Appliances</v>
      </c>
      <c r="S34" s="22" t="str">
        <v>North</v>
      </c>
      <c r="T34" s="22">
        <v>3</v>
      </c>
      <c r="U34" s="22">
        <v>3599</v>
      </c>
      <c r="V34" s="22">
        <v>2500</v>
      </c>
      <c r="W34" s="22" t="str">
        <v>Delivered</v>
      </c>
      <c r="X34" s="22" t="str">
        <v>Credit Card</v>
      </c>
      <c r="Y34" s="22">
        <v>10797</v>
      </c>
      <c r="Z34" s="22">
        <v>3297</v>
      </c>
      <c r="AA34" s="43">
        <v>0.30536260072242288</v>
      </c>
      <c r="AB34" s="15"/>
    </row>
    <row r="35" spans="1:28" x14ac:dyDescent="0.3">
      <c r="A35" s="37" t="s">
        <v>169</v>
      </c>
      <c r="B35" s="38">
        <v>45695</v>
      </c>
      <c r="C35" s="37" t="s">
        <v>57</v>
      </c>
      <c r="D35" s="37" t="s">
        <v>17</v>
      </c>
      <c r="E35" s="37" t="s">
        <v>13</v>
      </c>
      <c r="F35" s="39">
        <v>6</v>
      </c>
      <c r="G35" s="39">
        <v>8899</v>
      </c>
      <c r="H35" s="39">
        <v>7000</v>
      </c>
      <c r="I35" s="37" t="s">
        <v>19</v>
      </c>
      <c r="J35" s="37" t="s">
        <v>34</v>
      </c>
      <c r="K35" s="40">
        <f>Table1[[#This Row],[Quantity]]*Table1[[#This Row],[Unit Price]]</f>
        <v>53394</v>
      </c>
      <c r="L35" s="39">
        <f>Table1[[#This Row],[Revenue]]-Table1[[#This Row],[Cost Price]]*Table1[[#This Row],[Quantity]]</f>
        <v>11394</v>
      </c>
      <c r="M35" s="41">
        <f>IFERROR(Table1[[#This Row],[Profit]]/Table1[[#This Row],[Revenue]],"")</f>
        <v>0.21339476345656816</v>
      </c>
      <c r="N35" s="22"/>
      <c r="O35" s="49" t="s">
        <v>169</v>
      </c>
      <c r="P35" s="50" cm="1">
        <f t="array" ref="P35:AA35">_xlfn.XLOOKUP(O35,Table1[Order ID],Table1[[Order Date]:[Profit Margin]],0,0,1)</f>
        <v>45695</v>
      </c>
      <c r="Q35" s="37" t="str">
        <v>Water Purifier</v>
      </c>
      <c r="R35" s="37" t="str">
        <v>Appliances</v>
      </c>
      <c r="S35" s="37" t="str">
        <v>South</v>
      </c>
      <c r="T35" s="37">
        <v>6</v>
      </c>
      <c r="U35" s="37">
        <v>8899</v>
      </c>
      <c r="V35" s="37">
        <v>7000</v>
      </c>
      <c r="W35" s="37" t="str">
        <v>Delivered</v>
      </c>
      <c r="X35" s="37" t="str">
        <v>UPI</v>
      </c>
      <c r="Y35" s="37">
        <v>53394</v>
      </c>
      <c r="Z35" s="37">
        <v>11394</v>
      </c>
      <c r="AA35" s="51">
        <v>0.21339476345656816</v>
      </c>
      <c r="AB35" s="15"/>
    </row>
    <row r="36" spans="1:28" x14ac:dyDescent="0.3">
      <c r="A36" s="22" t="s">
        <v>219</v>
      </c>
      <c r="B36" s="23">
        <v>45695</v>
      </c>
      <c r="C36" s="22" t="s">
        <v>91</v>
      </c>
      <c r="D36" s="22" t="s">
        <v>38</v>
      </c>
      <c r="E36" s="22" t="s">
        <v>28</v>
      </c>
      <c r="F36" s="24">
        <v>5</v>
      </c>
      <c r="G36" s="24">
        <v>799</v>
      </c>
      <c r="H36" s="24">
        <v>500</v>
      </c>
      <c r="I36" s="22" t="s">
        <v>24</v>
      </c>
      <c r="J36" s="22" t="s">
        <v>55</v>
      </c>
      <c r="K36" s="25">
        <f>Table1[[#This Row],[Quantity]]*Table1[[#This Row],[Unit Price]]</f>
        <v>3995</v>
      </c>
      <c r="L36" s="24">
        <f>Table1[[#This Row],[Revenue]]-Table1[[#This Row],[Cost Price]]*Table1[[#This Row],[Quantity]]</f>
        <v>1495</v>
      </c>
      <c r="M36" s="26">
        <f>IFERROR(Table1[[#This Row],[Profit]]/Table1[[#This Row],[Revenue]],"")</f>
        <v>0.37421777221526908</v>
      </c>
      <c r="N36" s="22"/>
      <c r="O36" s="42" t="s">
        <v>219</v>
      </c>
      <c r="P36" s="27" cm="1">
        <f t="array" ref="P36:AA36">_xlfn.XLOOKUP(O36,Table1[Order ID],Table1[[Order Date]:[Profit Margin]],0,0,1)</f>
        <v>45695</v>
      </c>
      <c r="Q36" s="22" t="str">
        <v>LED Desk Lamp</v>
      </c>
      <c r="R36" s="22" t="str">
        <v>Home Decor</v>
      </c>
      <c r="S36" s="22" t="str">
        <v>East</v>
      </c>
      <c r="T36" s="22">
        <v>5</v>
      </c>
      <c r="U36" s="22">
        <v>799</v>
      </c>
      <c r="V36" s="22">
        <v>500</v>
      </c>
      <c r="W36" s="22" t="str">
        <v>Cancelled</v>
      </c>
      <c r="X36" s="22" t="str">
        <v>Net Banking</v>
      </c>
      <c r="Y36" s="22">
        <v>3995</v>
      </c>
      <c r="Z36" s="22">
        <v>1495</v>
      </c>
      <c r="AA36" s="43">
        <v>0.37421777221526908</v>
      </c>
      <c r="AB36" s="15"/>
    </row>
    <row r="37" spans="1:28" x14ac:dyDescent="0.3">
      <c r="A37" s="37" t="s">
        <v>168</v>
      </c>
      <c r="B37" s="38">
        <v>45696</v>
      </c>
      <c r="C37" s="37" t="s">
        <v>21</v>
      </c>
      <c r="D37" s="37" t="s">
        <v>22</v>
      </c>
      <c r="E37" s="37" t="s">
        <v>18</v>
      </c>
      <c r="F37" s="39">
        <v>1</v>
      </c>
      <c r="G37" s="39">
        <v>599</v>
      </c>
      <c r="H37" s="39">
        <v>350</v>
      </c>
      <c r="I37" s="37" t="s">
        <v>19</v>
      </c>
      <c r="J37" s="37" t="s">
        <v>26</v>
      </c>
      <c r="K37" s="40">
        <f>Table1[[#This Row],[Quantity]]*Table1[[#This Row],[Unit Price]]</f>
        <v>599</v>
      </c>
      <c r="L37" s="39">
        <f>Table1[[#This Row],[Revenue]]-Table1[[#This Row],[Cost Price]]*Table1[[#This Row],[Quantity]]</f>
        <v>249</v>
      </c>
      <c r="M37" s="41">
        <f>IFERROR(Table1[[#This Row],[Profit]]/Table1[[#This Row],[Revenue]],"")</f>
        <v>0.41569282136894825</v>
      </c>
      <c r="N37" s="22"/>
      <c r="O37" s="49" t="s">
        <v>168</v>
      </c>
      <c r="P37" s="50" cm="1">
        <f t="array" ref="P37:AA37">_xlfn.XLOOKUP(O37,Table1[Order ID],Table1[[Order Date]:[Profit Margin]],0,0,1)</f>
        <v>45696</v>
      </c>
      <c r="Q37" s="37" t="str">
        <v>Cotton T-Shirt</v>
      </c>
      <c r="R37" s="37" t="str">
        <v>Fashion</v>
      </c>
      <c r="S37" s="37" t="str">
        <v>Central</v>
      </c>
      <c r="T37" s="37">
        <v>1</v>
      </c>
      <c r="U37" s="37">
        <v>599</v>
      </c>
      <c r="V37" s="37">
        <v>350</v>
      </c>
      <c r="W37" s="37" t="str">
        <v>Delivered</v>
      </c>
      <c r="X37" s="37" t="str">
        <v>Credit Card</v>
      </c>
      <c r="Y37" s="37">
        <v>599</v>
      </c>
      <c r="Z37" s="37">
        <v>249</v>
      </c>
      <c r="AA37" s="51">
        <v>0.41569282136894825</v>
      </c>
      <c r="AB37" s="15"/>
    </row>
    <row r="38" spans="1:28" x14ac:dyDescent="0.3">
      <c r="A38" s="22" t="s">
        <v>236</v>
      </c>
      <c r="B38" s="23">
        <v>45696</v>
      </c>
      <c r="C38" s="22" t="s">
        <v>44</v>
      </c>
      <c r="D38" s="22" t="s">
        <v>31</v>
      </c>
      <c r="E38" s="22" t="s">
        <v>32</v>
      </c>
      <c r="F38" s="24">
        <v>3</v>
      </c>
      <c r="G38" s="24">
        <v>13199</v>
      </c>
      <c r="H38" s="24">
        <v>10800</v>
      </c>
      <c r="I38" s="22" t="s">
        <v>19</v>
      </c>
      <c r="J38" s="22" t="s">
        <v>55</v>
      </c>
      <c r="K38" s="25">
        <f>Table1[[#This Row],[Quantity]]*Table1[[#This Row],[Unit Price]]</f>
        <v>39597</v>
      </c>
      <c r="L38" s="24">
        <f>Table1[[#This Row],[Revenue]]-Table1[[#This Row],[Cost Price]]*Table1[[#This Row],[Quantity]]</f>
        <v>7197</v>
      </c>
      <c r="M38" s="26">
        <f>IFERROR(Table1[[#This Row],[Profit]]/Table1[[#This Row],[Revenue]],"")</f>
        <v>0.18175619365103418</v>
      </c>
      <c r="N38" s="22"/>
      <c r="O38" s="42" t="s">
        <v>236</v>
      </c>
      <c r="P38" s="27" cm="1">
        <f t="array" ref="P38:AA38">_xlfn.XLOOKUP(O38,Table1[Order ID],Table1[[Order Date]:[Profit Margin]],0,0,1)</f>
        <v>45696</v>
      </c>
      <c r="Q38" s="22" t="str">
        <v>Samsung Galaxy M14</v>
      </c>
      <c r="R38" s="22" t="str">
        <v>Electronics</v>
      </c>
      <c r="S38" s="22" t="str">
        <v>North</v>
      </c>
      <c r="T38" s="22">
        <v>3</v>
      </c>
      <c r="U38" s="22">
        <v>13199</v>
      </c>
      <c r="V38" s="22">
        <v>10800</v>
      </c>
      <c r="W38" s="22" t="str">
        <v>Delivered</v>
      </c>
      <c r="X38" s="22" t="str">
        <v>Net Banking</v>
      </c>
      <c r="Y38" s="22">
        <v>39597</v>
      </c>
      <c r="Z38" s="22">
        <v>7197</v>
      </c>
      <c r="AA38" s="43">
        <v>0.18175619365103418</v>
      </c>
      <c r="AB38" s="15"/>
    </row>
    <row r="39" spans="1:28" x14ac:dyDescent="0.3">
      <c r="A39" s="37" t="s">
        <v>116</v>
      </c>
      <c r="B39" s="38">
        <v>45697</v>
      </c>
      <c r="C39" s="37" t="s">
        <v>37</v>
      </c>
      <c r="D39" s="37" t="s">
        <v>38</v>
      </c>
      <c r="E39" s="37" t="s">
        <v>13</v>
      </c>
      <c r="F39" s="39">
        <v>10</v>
      </c>
      <c r="G39" s="39">
        <v>349</v>
      </c>
      <c r="H39" s="39">
        <v>90</v>
      </c>
      <c r="I39" s="37" t="s">
        <v>41</v>
      </c>
      <c r="J39" s="37" t="s">
        <v>34</v>
      </c>
      <c r="K39" s="40">
        <f>Table1[[#This Row],[Quantity]]*Table1[[#This Row],[Unit Price]]</f>
        <v>3490</v>
      </c>
      <c r="L39" s="39">
        <f>Table1[[#This Row],[Revenue]]-Table1[[#This Row],[Cost Price]]*Table1[[#This Row],[Quantity]]</f>
        <v>2590</v>
      </c>
      <c r="M39" s="41">
        <f>IFERROR(Table1[[#This Row],[Profit]]/Table1[[#This Row],[Revenue]],"")</f>
        <v>0.74212034383954151</v>
      </c>
      <c r="N39" s="22"/>
      <c r="O39" s="49" t="s">
        <v>116</v>
      </c>
      <c r="P39" s="50" cm="1">
        <f t="array" ref="P39:AA39">_xlfn.XLOOKUP(O39,Table1[Order ID],Table1[[Order Date]:[Profit Margin]],0,0,1)</f>
        <v>45697</v>
      </c>
      <c r="Q39" s="37" t="str">
        <v>Coffee Mug</v>
      </c>
      <c r="R39" s="37" t="str">
        <v>Home Decor</v>
      </c>
      <c r="S39" s="37" t="str">
        <v>South</v>
      </c>
      <c r="T39" s="37">
        <v>10</v>
      </c>
      <c r="U39" s="37">
        <v>349</v>
      </c>
      <c r="V39" s="37">
        <v>90</v>
      </c>
      <c r="W39" s="37" t="str">
        <v>Processing</v>
      </c>
      <c r="X39" s="37" t="str">
        <v>UPI</v>
      </c>
      <c r="Y39" s="37">
        <v>3490</v>
      </c>
      <c r="Z39" s="37">
        <v>2590</v>
      </c>
      <c r="AA39" s="51">
        <v>0.74212034383954151</v>
      </c>
      <c r="AB39" s="15"/>
    </row>
    <row r="40" spans="1:28" x14ac:dyDescent="0.3">
      <c r="A40" s="22" t="s">
        <v>115</v>
      </c>
      <c r="B40" s="23">
        <v>45698</v>
      </c>
      <c r="C40" s="22" t="s">
        <v>51</v>
      </c>
      <c r="D40" s="22" t="s">
        <v>31</v>
      </c>
      <c r="E40" s="22" t="s">
        <v>18</v>
      </c>
      <c r="F40" s="24">
        <v>6</v>
      </c>
      <c r="G40" s="24">
        <v>3199</v>
      </c>
      <c r="H40" s="24">
        <v>1800</v>
      </c>
      <c r="I40" s="22" t="s">
        <v>24</v>
      </c>
      <c r="J40" s="22" t="s">
        <v>52</v>
      </c>
      <c r="K40" s="25">
        <f>Table1[[#This Row],[Quantity]]*Table1[[#This Row],[Unit Price]]</f>
        <v>19194</v>
      </c>
      <c r="L40" s="24">
        <f>Table1[[#This Row],[Revenue]]-Table1[[#This Row],[Cost Price]]*Table1[[#This Row],[Quantity]]</f>
        <v>8394</v>
      </c>
      <c r="M40" s="26">
        <f>IFERROR(Table1[[#This Row],[Profit]]/Table1[[#This Row],[Revenue]],"")</f>
        <v>0.43732416380118788</v>
      </c>
      <c r="N40" s="22"/>
      <c r="O40" s="42" t="s">
        <v>115</v>
      </c>
      <c r="P40" s="27" cm="1">
        <f t="array" ref="P40:AA40">_xlfn.XLOOKUP(O40,Table1[Order ID],Table1[[Order Date]:[Profit Margin]],0,0,1)</f>
        <v>45698</v>
      </c>
      <c r="Q40" s="22" t="str">
        <v>Bluetooth Speaker</v>
      </c>
      <c r="R40" s="22" t="str">
        <v>Electronics</v>
      </c>
      <c r="S40" s="22" t="str">
        <v>Central</v>
      </c>
      <c r="T40" s="22">
        <v>6</v>
      </c>
      <c r="U40" s="22">
        <v>3199</v>
      </c>
      <c r="V40" s="22">
        <v>1800</v>
      </c>
      <c r="W40" s="22" t="str">
        <v>Cancelled</v>
      </c>
      <c r="X40" s="22" t="str">
        <v>Cash</v>
      </c>
      <c r="Y40" s="22">
        <v>19194</v>
      </c>
      <c r="Z40" s="22">
        <v>8394</v>
      </c>
      <c r="AA40" s="43">
        <v>0.43732416380118788</v>
      </c>
      <c r="AB40" s="15"/>
    </row>
    <row r="41" spans="1:28" x14ac:dyDescent="0.3">
      <c r="A41" s="37" t="s">
        <v>76</v>
      </c>
      <c r="B41" s="38">
        <v>45699</v>
      </c>
      <c r="C41" s="37" t="s">
        <v>57</v>
      </c>
      <c r="D41" s="37" t="s">
        <v>17</v>
      </c>
      <c r="E41" s="37" t="s">
        <v>32</v>
      </c>
      <c r="F41" s="39">
        <v>3</v>
      </c>
      <c r="G41" s="39">
        <v>9199</v>
      </c>
      <c r="H41" s="39">
        <v>7000</v>
      </c>
      <c r="I41" s="37" t="s">
        <v>33</v>
      </c>
      <c r="J41" s="37" t="s">
        <v>34</v>
      </c>
      <c r="K41" s="40">
        <f>Table1[[#This Row],[Quantity]]*Table1[[#This Row],[Unit Price]]</f>
        <v>27597</v>
      </c>
      <c r="L41" s="39">
        <f>Table1[[#This Row],[Revenue]]-Table1[[#This Row],[Cost Price]]*Table1[[#This Row],[Quantity]]</f>
        <v>6597</v>
      </c>
      <c r="M41" s="41">
        <f>IFERROR(Table1[[#This Row],[Profit]]/Table1[[#This Row],[Revenue]],"")</f>
        <v>0.23904772257854115</v>
      </c>
      <c r="N41" s="22"/>
      <c r="O41" s="49" t="s">
        <v>76</v>
      </c>
      <c r="P41" s="50" cm="1">
        <f t="array" ref="P41:AA41">_xlfn.XLOOKUP(O41,Table1[Order ID],Table1[[Order Date]:[Profit Margin]],0,0,1)</f>
        <v>45699</v>
      </c>
      <c r="Q41" s="37" t="str">
        <v>Water Purifier</v>
      </c>
      <c r="R41" s="37" t="str">
        <v>Appliances</v>
      </c>
      <c r="S41" s="37" t="str">
        <v>North</v>
      </c>
      <c r="T41" s="37">
        <v>3</v>
      </c>
      <c r="U41" s="37">
        <v>9199</v>
      </c>
      <c r="V41" s="37">
        <v>7000</v>
      </c>
      <c r="W41" s="37" t="str">
        <v>Shipped</v>
      </c>
      <c r="X41" s="37" t="str">
        <v>UPI</v>
      </c>
      <c r="Y41" s="37">
        <v>27597</v>
      </c>
      <c r="Z41" s="37">
        <v>6597</v>
      </c>
      <c r="AA41" s="51">
        <v>0.23904772257854115</v>
      </c>
      <c r="AB41" s="15"/>
    </row>
    <row r="42" spans="1:28" x14ac:dyDescent="0.3">
      <c r="A42" s="22" t="s">
        <v>177</v>
      </c>
      <c r="B42" s="23">
        <v>45700</v>
      </c>
      <c r="C42" s="22" t="s">
        <v>91</v>
      </c>
      <c r="D42" s="22" t="s">
        <v>38</v>
      </c>
      <c r="E42" s="22" t="s">
        <v>32</v>
      </c>
      <c r="F42" s="24">
        <v>2</v>
      </c>
      <c r="G42" s="24">
        <v>999</v>
      </c>
      <c r="H42" s="24">
        <v>500</v>
      </c>
      <c r="I42" s="22" t="s">
        <v>19</v>
      </c>
      <c r="J42" s="22" t="s">
        <v>34</v>
      </c>
      <c r="K42" s="25">
        <f>Table1[[#This Row],[Quantity]]*Table1[[#This Row],[Unit Price]]</f>
        <v>1998</v>
      </c>
      <c r="L42" s="24">
        <f>Table1[[#This Row],[Revenue]]-Table1[[#This Row],[Cost Price]]*Table1[[#This Row],[Quantity]]</f>
        <v>998</v>
      </c>
      <c r="M42" s="26">
        <f>IFERROR(Table1[[#This Row],[Profit]]/Table1[[#This Row],[Revenue]],"")</f>
        <v>0.49949949949949951</v>
      </c>
      <c r="N42" s="22"/>
      <c r="O42" s="42" t="s">
        <v>177</v>
      </c>
      <c r="P42" s="27" cm="1">
        <f t="array" ref="P42:AA42">_xlfn.XLOOKUP(O42,Table1[Order ID],Table1[[Order Date]:[Profit Margin]],0,0,1)</f>
        <v>45700</v>
      </c>
      <c r="Q42" s="22" t="str">
        <v>LED Desk Lamp</v>
      </c>
      <c r="R42" s="22" t="str">
        <v>Home Decor</v>
      </c>
      <c r="S42" s="22" t="str">
        <v>North</v>
      </c>
      <c r="T42" s="22">
        <v>2</v>
      </c>
      <c r="U42" s="22">
        <v>999</v>
      </c>
      <c r="V42" s="22">
        <v>500</v>
      </c>
      <c r="W42" s="22" t="str">
        <v>Delivered</v>
      </c>
      <c r="X42" s="22" t="str">
        <v>UPI</v>
      </c>
      <c r="Y42" s="22">
        <v>1998</v>
      </c>
      <c r="Z42" s="22">
        <v>998</v>
      </c>
      <c r="AA42" s="43">
        <v>0.49949949949949951</v>
      </c>
      <c r="AB42" s="15"/>
    </row>
    <row r="43" spans="1:28" x14ac:dyDescent="0.3">
      <c r="A43" s="37" t="s">
        <v>309</v>
      </c>
      <c r="B43" s="38">
        <v>45702</v>
      </c>
      <c r="C43" s="37" t="s">
        <v>54</v>
      </c>
      <c r="D43" s="37" t="s">
        <v>27</v>
      </c>
      <c r="E43" s="37" t="s">
        <v>13</v>
      </c>
      <c r="F43" s="39">
        <v>3</v>
      </c>
      <c r="G43" s="39">
        <v>399</v>
      </c>
      <c r="H43" s="39">
        <v>180</v>
      </c>
      <c r="I43" s="37" t="s">
        <v>14</v>
      </c>
      <c r="J43" s="37" t="s">
        <v>34</v>
      </c>
      <c r="K43" s="40">
        <f>Table1[[#This Row],[Quantity]]*Table1[[#This Row],[Unit Price]]</f>
        <v>1197</v>
      </c>
      <c r="L43" s="39">
        <f>Table1[[#This Row],[Revenue]]-Table1[[#This Row],[Cost Price]]*Table1[[#This Row],[Quantity]]</f>
        <v>657</v>
      </c>
      <c r="M43" s="41">
        <f>IFERROR(Table1[[#This Row],[Profit]]/Table1[[#This Row],[Revenue]],"")</f>
        <v>0.54887218045112784</v>
      </c>
      <c r="N43" s="22"/>
      <c r="O43" s="49" t="s">
        <v>309</v>
      </c>
      <c r="P43" s="50" cm="1">
        <f t="array" ref="P43:AA43">_xlfn.XLOOKUP(O43,Table1[Order ID],Table1[[Order Date]:[Profit Margin]],0,0,1)</f>
        <v>45702</v>
      </c>
      <c r="Q43" s="37" t="str">
        <v>Printer Paper</v>
      </c>
      <c r="R43" s="37" t="str">
        <v>Stationery</v>
      </c>
      <c r="S43" s="37" t="str">
        <v>South</v>
      </c>
      <c r="T43" s="37">
        <v>3</v>
      </c>
      <c r="U43" s="37">
        <v>399</v>
      </c>
      <c r="V43" s="37">
        <v>180</v>
      </c>
      <c r="W43" s="37" t="str">
        <v>Returned</v>
      </c>
      <c r="X43" s="37" t="str">
        <v>UPI</v>
      </c>
      <c r="Y43" s="37">
        <v>1197</v>
      </c>
      <c r="Z43" s="37">
        <v>657</v>
      </c>
      <c r="AA43" s="51">
        <v>0.54887218045112784</v>
      </c>
      <c r="AB43" s="15"/>
    </row>
    <row r="44" spans="1:28" x14ac:dyDescent="0.3">
      <c r="A44" s="22" t="s">
        <v>36</v>
      </c>
      <c r="B44" s="23">
        <v>45703</v>
      </c>
      <c r="C44" s="22" t="s">
        <v>37</v>
      </c>
      <c r="D44" s="22" t="s">
        <v>38</v>
      </c>
      <c r="E44" s="22" t="s">
        <v>18</v>
      </c>
      <c r="F44" s="24">
        <v>2</v>
      </c>
      <c r="G44" s="24">
        <v>149</v>
      </c>
      <c r="H44" s="24">
        <v>90</v>
      </c>
      <c r="I44" s="22" t="s">
        <v>19</v>
      </c>
      <c r="J44" s="22" t="s">
        <v>26</v>
      </c>
      <c r="K44" s="25">
        <f>Table1[[#This Row],[Quantity]]*Table1[[#This Row],[Unit Price]]</f>
        <v>298</v>
      </c>
      <c r="L44" s="24">
        <f>Table1[[#This Row],[Revenue]]-Table1[[#This Row],[Cost Price]]*Table1[[#This Row],[Quantity]]</f>
        <v>118</v>
      </c>
      <c r="M44" s="26">
        <f>IFERROR(Table1[[#This Row],[Profit]]/Table1[[#This Row],[Revenue]],"")</f>
        <v>0.39597315436241609</v>
      </c>
      <c r="N44" s="22"/>
      <c r="O44" s="42" t="s">
        <v>36</v>
      </c>
      <c r="P44" s="27" cm="1">
        <f t="array" ref="P44:AA44">_xlfn.XLOOKUP(O44,Table1[Order ID],Table1[[Order Date]:[Profit Margin]],0,0,1)</f>
        <v>45703</v>
      </c>
      <c r="Q44" s="22" t="str">
        <v>Coffee Mug</v>
      </c>
      <c r="R44" s="22" t="str">
        <v>Home Decor</v>
      </c>
      <c r="S44" s="22" t="str">
        <v>Central</v>
      </c>
      <c r="T44" s="22">
        <v>2</v>
      </c>
      <c r="U44" s="22">
        <v>149</v>
      </c>
      <c r="V44" s="22">
        <v>90</v>
      </c>
      <c r="W44" s="22" t="str">
        <v>Delivered</v>
      </c>
      <c r="X44" s="22" t="str">
        <v>Credit Card</v>
      </c>
      <c r="Y44" s="22">
        <v>298</v>
      </c>
      <c r="Z44" s="22">
        <v>118</v>
      </c>
      <c r="AA44" s="43">
        <v>0.39597315436241609</v>
      </c>
      <c r="AB44" s="15"/>
    </row>
    <row r="45" spans="1:28" x14ac:dyDescent="0.3">
      <c r="A45" s="37" t="s">
        <v>97</v>
      </c>
      <c r="B45" s="38">
        <v>45704</v>
      </c>
      <c r="C45" s="37" t="s">
        <v>46</v>
      </c>
      <c r="D45" s="37" t="s">
        <v>27</v>
      </c>
      <c r="E45" s="37" t="s">
        <v>23</v>
      </c>
      <c r="F45" s="39">
        <v>7</v>
      </c>
      <c r="G45" s="39">
        <v>99</v>
      </c>
      <c r="H45" s="39">
        <v>120</v>
      </c>
      <c r="I45" s="37" t="s">
        <v>14</v>
      </c>
      <c r="J45" s="37" t="s">
        <v>26</v>
      </c>
      <c r="K45" s="40">
        <f>Table1[[#This Row],[Quantity]]*Table1[[#This Row],[Unit Price]]</f>
        <v>693</v>
      </c>
      <c r="L45" s="39">
        <f>Table1[[#This Row],[Revenue]]-Table1[[#This Row],[Cost Price]]*Table1[[#This Row],[Quantity]]</f>
        <v>-147</v>
      </c>
      <c r="M45" s="41">
        <f>IFERROR(Table1[[#This Row],[Profit]]/Table1[[#This Row],[Revenue]],"")</f>
        <v>-0.21212121212121213</v>
      </c>
      <c r="N45" s="22"/>
      <c r="O45" s="49" t="s">
        <v>97</v>
      </c>
      <c r="P45" s="50" cm="1">
        <f t="array" ref="P45:AA45">_xlfn.XLOOKUP(O45,Table1[Order ID],Table1[[Order Date]:[Profit Margin]],0,0,1)</f>
        <v>45704</v>
      </c>
      <c r="Q45" s="37" t="str">
        <v>Notebook Pack</v>
      </c>
      <c r="R45" s="37" t="str">
        <v>Stationery</v>
      </c>
      <c r="S45" s="37" t="str">
        <v>West</v>
      </c>
      <c r="T45" s="37">
        <v>7</v>
      </c>
      <c r="U45" s="37">
        <v>99</v>
      </c>
      <c r="V45" s="37">
        <v>120</v>
      </c>
      <c r="W45" s="37" t="str">
        <v>Returned</v>
      </c>
      <c r="X45" s="37" t="str">
        <v>Credit Card</v>
      </c>
      <c r="Y45" s="37">
        <v>693</v>
      </c>
      <c r="Z45" s="37">
        <v>-147</v>
      </c>
      <c r="AA45" s="51">
        <v>-0.21212121212121213</v>
      </c>
      <c r="AB45" s="15"/>
    </row>
    <row r="46" spans="1:28" x14ac:dyDescent="0.3">
      <c r="A46" s="22" t="s">
        <v>322</v>
      </c>
      <c r="B46" s="23">
        <v>45705</v>
      </c>
      <c r="C46" s="22" t="s">
        <v>11</v>
      </c>
      <c r="D46" s="22" t="s">
        <v>12</v>
      </c>
      <c r="E46" s="22" t="s">
        <v>18</v>
      </c>
      <c r="F46" s="24">
        <v>7</v>
      </c>
      <c r="G46" s="24">
        <v>6799</v>
      </c>
      <c r="H46" s="24">
        <v>5000</v>
      </c>
      <c r="I46" s="22" t="s">
        <v>19</v>
      </c>
      <c r="J46" s="22" t="s">
        <v>26</v>
      </c>
      <c r="K46" s="25">
        <f>Table1[[#This Row],[Quantity]]*Table1[[#This Row],[Unit Price]]</f>
        <v>47593</v>
      </c>
      <c r="L46" s="24">
        <f>Table1[[#This Row],[Revenue]]-Table1[[#This Row],[Cost Price]]*Table1[[#This Row],[Quantity]]</f>
        <v>12593</v>
      </c>
      <c r="M46" s="26">
        <f>IFERROR(Table1[[#This Row],[Profit]]/Table1[[#This Row],[Revenue]],"")</f>
        <v>0.26459773496102368</v>
      </c>
      <c r="N46" s="22"/>
      <c r="O46" s="42" t="s">
        <v>322</v>
      </c>
      <c r="P46" s="27" cm="1">
        <f t="array" ref="P46:AA46">_xlfn.XLOOKUP(O46,Table1[Order ID],Table1[[Order Date]:[Profit Margin]],0,0,1)</f>
        <v>45705</v>
      </c>
      <c r="Q46" s="22" t="str">
        <v>Study Table</v>
      </c>
      <c r="R46" s="22" t="str">
        <v>Furniture</v>
      </c>
      <c r="S46" s="22" t="str">
        <v>Central</v>
      </c>
      <c r="T46" s="22">
        <v>7</v>
      </c>
      <c r="U46" s="22">
        <v>6799</v>
      </c>
      <c r="V46" s="22">
        <v>5000</v>
      </c>
      <c r="W46" s="22" t="str">
        <v>Delivered</v>
      </c>
      <c r="X46" s="22" t="str">
        <v>Credit Card</v>
      </c>
      <c r="Y46" s="22">
        <v>47593</v>
      </c>
      <c r="Z46" s="22">
        <v>12593</v>
      </c>
      <c r="AA46" s="43">
        <v>0.26459773496102368</v>
      </c>
      <c r="AB46" s="15"/>
    </row>
    <row r="47" spans="1:28" x14ac:dyDescent="0.3">
      <c r="A47" s="37" t="s">
        <v>29</v>
      </c>
      <c r="B47" s="38">
        <v>45706</v>
      </c>
      <c r="C47" s="37" t="s">
        <v>30</v>
      </c>
      <c r="D47" s="37" t="s">
        <v>31</v>
      </c>
      <c r="E47" s="37" t="s">
        <v>32</v>
      </c>
      <c r="F47" s="39">
        <v>7</v>
      </c>
      <c r="G47" s="39">
        <v>15999</v>
      </c>
      <c r="H47" s="39">
        <v>13500</v>
      </c>
      <c r="I47" s="37" t="s">
        <v>19</v>
      </c>
      <c r="J47" s="37" t="s">
        <v>26</v>
      </c>
      <c r="K47" s="40">
        <f>Table1[[#This Row],[Quantity]]*Table1[[#This Row],[Unit Price]]</f>
        <v>111993</v>
      </c>
      <c r="L47" s="39">
        <f>Table1[[#This Row],[Revenue]]-Table1[[#This Row],[Cost Price]]*Table1[[#This Row],[Quantity]]</f>
        <v>17493</v>
      </c>
      <c r="M47" s="41">
        <f>IFERROR(Table1[[#This Row],[Profit]]/Table1[[#This Row],[Revenue]],"")</f>
        <v>0.15619726232889555</v>
      </c>
      <c r="N47" s="22"/>
      <c r="O47" s="49" t="s">
        <v>29</v>
      </c>
      <c r="P47" s="50" cm="1">
        <f t="array" ref="P47:AA47">_xlfn.XLOOKUP(O47,Table1[Order ID],Table1[[Order Date]:[Profit Margin]],0,0,1)</f>
        <v>45706</v>
      </c>
      <c r="Q47" s="37" t="str">
        <v>Redmi Note 13</v>
      </c>
      <c r="R47" s="37" t="str">
        <v>Electronics</v>
      </c>
      <c r="S47" s="37" t="str">
        <v>North</v>
      </c>
      <c r="T47" s="37">
        <v>7</v>
      </c>
      <c r="U47" s="37">
        <v>15999</v>
      </c>
      <c r="V47" s="37">
        <v>13500</v>
      </c>
      <c r="W47" s="37" t="str">
        <v>Delivered</v>
      </c>
      <c r="X47" s="37" t="str">
        <v>Credit Card</v>
      </c>
      <c r="Y47" s="37">
        <v>111993</v>
      </c>
      <c r="Z47" s="37">
        <v>17493</v>
      </c>
      <c r="AA47" s="51">
        <v>0.15619726232889555</v>
      </c>
      <c r="AB47" s="15"/>
    </row>
    <row r="48" spans="1:28" x14ac:dyDescent="0.3">
      <c r="A48" s="22" t="s">
        <v>45</v>
      </c>
      <c r="B48" s="23">
        <v>45706</v>
      </c>
      <c r="C48" s="22" t="s">
        <v>46</v>
      </c>
      <c r="D48" s="22" t="s">
        <v>27</v>
      </c>
      <c r="E48" s="22" t="s">
        <v>32</v>
      </c>
      <c r="F48" s="24">
        <v>8</v>
      </c>
      <c r="G48" s="24">
        <v>99</v>
      </c>
      <c r="H48" s="24">
        <v>120</v>
      </c>
      <c r="I48" s="22" t="s">
        <v>19</v>
      </c>
      <c r="J48" s="22" t="s">
        <v>47</v>
      </c>
      <c r="K48" s="25">
        <f>Table1[[#This Row],[Quantity]]*Table1[[#This Row],[Unit Price]]</f>
        <v>792</v>
      </c>
      <c r="L48" s="24">
        <f>Table1[[#This Row],[Revenue]]-Table1[[#This Row],[Cost Price]]*Table1[[#This Row],[Quantity]]</f>
        <v>-168</v>
      </c>
      <c r="M48" s="26">
        <f>IFERROR(Table1[[#This Row],[Profit]]/Table1[[#This Row],[Revenue]],"")</f>
        <v>-0.21212121212121213</v>
      </c>
      <c r="N48" s="22"/>
      <c r="O48" s="42" t="s">
        <v>45</v>
      </c>
      <c r="P48" s="27" cm="1">
        <f t="array" ref="P48:AA48">_xlfn.XLOOKUP(O48,Table1[Order ID],Table1[[Order Date]:[Profit Margin]],0,0,1)</f>
        <v>45706</v>
      </c>
      <c r="Q48" s="22" t="str">
        <v>Notebook Pack</v>
      </c>
      <c r="R48" s="22" t="str">
        <v>Stationery</v>
      </c>
      <c r="S48" s="22" t="str">
        <v>North</v>
      </c>
      <c r="T48" s="22">
        <v>8</v>
      </c>
      <c r="U48" s="22">
        <v>99</v>
      </c>
      <c r="V48" s="22">
        <v>120</v>
      </c>
      <c r="W48" s="22" t="str">
        <v>Delivered</v>
      </c>
      <c r="X48" s="22" t="str">
        <v>Debit Card</v>
      </c>
      <c r="Y48" s="22">
        <v>792</v>
      </c>
      <c r="Z48" s="22">
        <v>-168</v>
      </c>
      <c r="AA48" s="43">
        <v>-0.21212121212121213</v>
      </c>
      <c r="AB48" s="15"/>
    </row>
    <row r="49" spans="1:28" x14ac:dyDescent="0.3">
      <c r="A49" s="37" t="s">
        <v>256</v>
      </c>
      <c r="B49" s="38">
        <v>45706</v>
      </c>
      <c r="C49" s="37" t="s">
        <v>60</v>
      </c>
      <c r="D49" s="37" t="s">
        <v>31</v>
      </c>
      <c r="E49" s="37" t="s">
        <v>32</v>
      </c>
      <c r="F49" s="39">
        <v>7</v>
      </c>
      <c r="G49" s="39">
        <v>3599</v>
      </c>
      <c r="H49" s="39">
        <v>2400</v>
      </c>
      <c r="I49" s="37" t="s">
        <v>14</v>
      </c>
      <c r="J49" s="37" t="s">
        <v>34</v>
      </c>
      <c r="K49" s="40">
        <f>Table1[[#This Row],[Quantity]]*Table1[[#This Row],[Unit Price]]</f>
        <v>25193</v>
      </c>
      <c r="L49" s="39">
        <f>Table1[[#This Row],[Revenue]]-Table1[[#This Row],[Cost Price]]*Table1[[#This Row],[Quantity]]</f>
        <v>8393</v>
      </c>
      <c r="M49" s="41">
        <f>IFERROR(Table1[[#This Row],[Profit]]/Table1[[#This Row],[Revenue]],"")</f>
        <v>0.33314809669352596</v>
      </c>
      <c r="N49" s="22"/>
      <c r="O49" s="49" t="s">
        <v>256</v>
      </c>
      <c r="P49" s="50" cm="1">
        <f t="array" ref="P49:AA49">_xlfn.XLOOKUP(O49,Table1[Order ID],Table1[[Order Date]:[Profit Margin]],0,0,1)</f>
        <v>45706</v>
      </c>
      <c r="Q49" s="37" t="str">
        <v>Smart Watch</v>
      </c>
      <c r="R49" s="37" t="str">
        <v>Electronics</v>
      </c>
      <c r="S49" s="37" t="str">
        <v>North</v>
      </c>
      <c r="T49" s="37">
        <v>7</v>
      </c>
      <c r="U49" s="37">
        <v>3599</v>
      </c>
      <c r="V49" s="37">
        <v>2400</v>
      </c>
      <c r="W49" s="37" t="str">
        <v>Returned</v>
      </c>
      <c r="X49" s="37" t="str">
        <v>UPI</v>
      </c>
      <c r="Y49" s="37">
        <v>25193</v>
      </c>
      <c r="Z49" s="37">
        <v>8393</v>
      </c>
      <c r="AA49" s="51">
        <v>0.33314809669352596</v>
      </c>
      <c r="AB49" s="15"/>
    </row>
    <row r="50" spans="1:28" x14ac:dyDescent="0.3">
      <c r="A50" s="22" t="s">
        <v>123</v>
      </c>
      <c r="B50" s="23">
        <v>45708</v>
      </c>
      <c r="C50" s="22" t="s">
        <v>49</v>
      </c>
      <c r="D50" s="22" t="s">
        <v>22</v>
      </c>
      <c r="E50" s="22" t="s">
        <v>23</v>
      </c>
      <c r="F50" s="24">
        <v>8</v>
      </c>
      <c r="G50" s="24">
        <v>2699</v>
      </c>
      <c r="H50" s="24">
        <v>1400</v>
      </c>
      <c r="I50" s="22" t="s">
        <v>33</v>
      </c>
      <c r="J50" s="22" t="s">
        <v>26</v>
      </c>
      <c r="K50" s="25">
        <f>Table1[[#This Row],[Quantity]]*Table1[[#This Row],[Unit Price]]</f>
        <v>21592</v>
      </c>
      <c r="L50" s="24">
        <f>Table1[[#This Row],[Revenue]]-Table1[[#This Row],[Cost Price]]*Table1[[#This Row],[Quantity]]</f>
        <v>10392</v>
      </c>
      <c r="M50" s="26">
        <f>IFERROR(Table1[[#This Row],[Profit]]/Table1[[#This Row],[Revenue]],"")</f>
        <v>0.48128936643201187</v>
      </c>
      <c r="N50" s="22"/>
      <c r="O50" s="42" t="s">
        <v>123</v>
      </c>
      <c r="P50" s="27" cm="1">
        <f t="array" ref="P50:AA50">_xlfn.XLOOKUP(O50,Table1[Order ID],Table1[[Order Date]:[Profit Margin]],0,0,1)</f>
        <v>45708</v>
      </c>
      <c r="Q50" s="22" t="str">
        <v>Running Shoes</v>
      </c>
      <c r="R50" s="22" t="str">
        <v>Fashion</v>
      </c>
      <c r="S50" s="22" t="str">
        <v>West</v>
      </c>
      <c r="T50" s="22">
        <v>8</v>
      </c>
      <c r="U50" s="22">
        <v>2699</v>
      </c>
      <c r="V50" s="22">
        <v>1400</v>
      </c>
      <c r="W50" s="22" t="str">
        <v>Shipped</v>
      </c>
      <c r="X50" s="22" t="str">
        <v>Credit Card</v>
      </c>
      <c r="Y50" s="22">
        <v>21592</v>
      </c>
      <c r="Z50" s="22">
        <v>10392</v>
      </c>
      <c r="AA50" s="43">
        <v>0.48128936643201187</v>
      </c>
      <c r="AB50" s="15"/>
    </row>
    <row r="51" spans="1:28" x14ac:dyDescent="0.3">
      <c r="A51" s="37" t="s">
        <v>235</v>
      </c>
      <c r="B51" s="38">
        <v>45709</v>
      </c>
      <c r="C51" s="37" t="s">
        <v>16</v>
      </c>
      <c r="D51" s="37" t="s">
        <v>17</v>
      </c>
      <c r="E51" s="37" t="s">
        <v>13</v>
      </c>
      <c r="F51" s="39">
        <v>9</v>
      </c>
      <c r="G51" s="39">
        <v>3299</v>
      </c>
      <c r="H51" s="39">
        <v>2500</v>
      </c>
      <c r="I51" s="37" t="s">
        <v>33</v>
      </c>
      <c r="J51" s="37" t="s">
        <v>34</v>
      </c>
      <c r="K51" s="40">
        <f>Table1[[#This Row],[Quantity]]*Table1[[#This Row],[Unit Price]]</f>
        <v>29691</v>
      </c>
      <c r="L51" s="39">
        <f>Table1[[#This Row],[Revenue]]-Table1[[#This Row],[Cost Price]]*Table1[[#This Row],[Quantity]]</f>
        <v>7191</v>
      </c>
      <c r="M51" s="41">
        <f>IFERROR(Table1[[#This Row],[Profit]]/Table1[[#This Row],[Revenue]],"")</f>
        <v>0.24219460442558352</v>
      </c>
      <c r="N51" s="22"/>
      <c r="O51" s="49" t="s">
        <v>235</v>
      </c>
      <c r="P51" s="50" cm="1">
        <f t="array" ref="P51:AA51">_xlfn.XLOOKUP(O51,Table1[Order ID],Table1[[Order Date]:[Profit Margin]],0,0,1)</f>
        <v>45709</v>
      </c>
      <c r="Q51" s="37" t="str">
        <v>Mixer Grinder</v>
      </c>
      <c r="R51" s="37" t="str">
        <v>Appliances</v>
      </c>
      <c r="S51" s="37" t="str">
        <v>South</v>
      </c>
      <c r="T51" s="37">
        <v>9</v>
      </c>
      <c r="U51" s="37">
        <v>3299</v>
      </c>
      <c r="V51" s="37">
        <v>2500</v>
      </c>
      <c r="W51" s="37" t="str">
        <v>Shipped</v>
      </c>
      <c r="X51" s="37" t="str">
        <v>UPI</v>
      </c>
      <c r="Y51" s="37">
        <v>29691</v>
      </c>
      <c r="Z51" s="37">
        <v>7191</v>
      </c>
      <c r="AA51" s="51">
        <v>0.24219460442558352</v>
      </c>
      <c r="AB51" s="15"/>
    </row>
    <row r="52" spans="1:28" x14ac:dyDescent="0.3">
      <c r="A52" s="22" t="s">
        <v>246</v>
      </c>
      <c r="B52" s="23">
        <v>45712</v>
      </c>
      <c r="C52" s="22" t="s">
        <v>44</v>
      </c>
      <c r="D52" s="22" t="s">
        <v>31</v>
      </c>
      <c r="E52" s="22" t="s">
        <v>32</v>
      </c>
      <c r="F52" s="24">
        <v>1</v>
      </c>
      <c r="G52" s="24">
        <v>12999</v>
      </c>
      <c r="H52" s="24">
        <v>10800</v>
      </c>
      <c r="I52" s="22" t="s">
        <v>33</v>
      </c>
      <c r="J52" s="22" t="s">
        <v>34</v>
      </c>
      <c r="K52" s="25">
        <f>Table1[[#This Row],[Quantity]]*Table1[[#This Row],[Unit Price]]</f>
        <v>12999</v>
      </c>
      <c r="L52" s="24">
        <f>Table1[[#This Row],[Revenue]]-Table1[[#This Row],[Cost Price]]*Table1[[#This Row],[Quantity]]</f>
        <v>2199</v>
      </c>
      <c r="M52" s="26">
        <f>IFERROR(Table1[[#This Row],[Profit]]/Table1[[#This Row],[Revenue]],"")</f>
        <v>0.16916685898915301</v>
      </c>
      <c r="N52" s="22"/>
      <c r="O52" s="42" t="s">
        <v>246</v>
      </c>
      <c r="P52" s="27" cm="1">
        <f t="array" ref="P52:AA52">_xlfn.XLOOKUP(O52,Table1[Order ID],Table1[[Order Date]:[Profit Margin]],0,0,1)</f>
        <v>45712</v>
      </c>
      <c r="Q52" s="22" t="str">
        <v>Samsung Galaxy M14</v>
      </c>
      <c r="R52" s="22" t="str">
        <v>Electronics</v>
      </c>
      <c r="S52" s="22" t="str">
        <v>North</v>
      </c>
      <c r="T52" s="22">
        <v>1</v>
      </c>
      <c r="U52" s="22">
        <v>12999</v>
      </c>
      <c r="V52" s="22">
        <v>10800</v>
      </c>
      <c r="W52" s="22" t="str">
        <v>Shipped</v>
      </c>
      <c r="X52" s="22" t="str">
        <v>UPI</v>
      </c>
      <c r="Y52" s="22">
        <v>12999</v>
      </c>
      <c r="Z52" s="22">
        <v>2199</v>
      </c>
      <c r="AA52" s="43">
        <v>0.16916685898915301</v>
      </c>
      <c r="AB52" s="15"/>
    </row>
    <row r="53" spans="1:28" x14ac:dyDescent="0.3">
      <c r="A53" s="37" t="s">
        <v>171</v>
      </c>
      <c r="B53" s="38">
        <v>45714</v>
      </c>
      <c r="C53" s="37" t="s">
        <v>57</v>
      </c>
      <c r="D53" s="37" t="s">
        <v>17</v>
      </c>
      <c r="E53" s="37" t="s">
        <v>28</v>
      </c>
      <c r="F53" s="39">
        <v>5</v>
      </c>
      <c r="G53" s="39">
        <v>8999</v>
      </c>
      <c r="H53" s="39">
        <v>7000</v>
      </c>
      <c r="I53" s="37" t="s">
        <v>33</v>
      </c>
      <c r="J53" s="37" t="s">
        <v>26</v>
      </c>
      <c r="K53" s="40">
        <f>Table1[[#This Row],[Quantity]]*Table1[[#This Row],[Unit Price]]</f>
        <v>44995</v>
      </c>
      <c r="L53" s="39">
        <f>Table1[[#This Row],[Revenue]]-Table1[[#This Row],[Cost Price]]*Table1[[#This Row],[Quantity]]</f>
        <v>9995</v>
      </c>
      <c r="M53" s="41">
        <f>IFERROR(Table1[[#This Row],[Profit]]/Table1[[#This Row],[Revenue]],"")</f>
        <v>0.22213579286587398</v>
      </c>
      <c r="N53" s="22"/>
      <c r="O53" s="49" t="s">
        <v>171</v>
      </c>
      <c r="P53" s="50" cm="1">
        <f t="array" ref="P53:AA53">_xlfn.XLOOKUP(O53,Table1[Order ID],Table1[[Order Date]:[Profit Margin]],0,0,1)</f>
        <v>45714</v>
      </c>
      <c r="Q53" s="37" t="str">
        <v>Water Purifier</v>
      </c>
      <c r="R53" s="37" t="str">
        <v>Appliances</v>
      </c>
      <c r="S53" s="37" t="str">
        <v>East</v>
      </c>
      <c r="T53" s="37">
        <v>5</v>
      </c>
      <c r="U53" s="37">
        <v>8999</v>
      </c>
      <c r="V53" s="37">
        <v>7000</v>
      </c>
      <c r="W53" s="37" t="str">
        <v>Shipped</v>
      </c>
      <c r="X53" s="37" t="str">
        <v>Credit Card</v>
      </c>
      <c r="Y53" s="37">
        <v>44995</v>
      </c>
      <c r="Z53" s="37">
        <v>9995</v>
      </c>
      <c r="AA53" s="51">
        <v>0.22213579286587398</v>
      </c>
      <c r="AB53" s="15"/>
    </row>
    <row r="54" spans="1:28" x14ac:dyDescent="0.3">
      <c r="A54" s="22" t="s">
        <v>313</v>
      </c>
      <c r="B54" s="23">
        <v>45719</v>
      </c>
      <c r="C54" s="22" t="s">
        <v>21</v>
      </c>
      <c r="D54" s="22" t="s">
        <v>22</v>
      </c>
      <c r="E54" s="22" t="s">
        <v>23</v>
      </c>
      <c r="F54" s="24">
        <v>10</v>
      </c>
      <c r="G54" s="24">
        <v>699</v>
      </c>
      <c r="H54" s="24">
        <v>350</v>
      </c>
      <c r="I54" s="22" t="s">
        <v>24</v>
      </c>
      <c r="J54" s="22" t="s">
        <v>26</v>
      </c>
      <c r="K54" s="25">
        <f>Table1[[#This Row],[Quantity]]*Table1[[#This Row],[Unit Price]]</f>
        <v>6990</v>
      </c>
      <c r="L54" s="24">
        <f>Table1[[#This Row],[Revenue]]-Table1[[#This Row],[Cost Price]]*Table1[[#This Row],[Quantity]]</f>
        <v>3490</v>
      </c>
      <c r="M54" s="26">
        <f>IFERROR(Table1[[#This Row],[Profit]]/Table1[[#This Row],[Revenue]],"")</f>
        <v>0.49928469241773965</v>
      </c>
      <c r="N54" s="22"/>
      <c r="O54" s="42" t="s">
        <v>313</v>
      </c>
      <c r="P54" s="27" cm="1">
        <f t="array" ref="P54:AA54">_xlfn.XLOOKUP(O54,Table1[Order ID],Table1[[Order Date]:[Profit Margin]],0,0,1)</f>
        <v>45719</v>
      </c>
      <c r="Q54" s="22" t="str">
        <v>Cotton T-Shirt</v>
      </c>
      <c r="R54" s="22" t="str">
        <v>Fashion</v>
      </c>
      <c r="S54" s="22" t="str">
        <v>West</v>
      </c>
      <c r="T54" s="22">
        <v>10</v>
      </c>
      <c r="U54" s="22">
        <v>699</v>
      </c>
      <c r="V54" s="22">
        <v>350</v>
      </c>
      <c r="W54" s="22" t="str">
        <v>Cancelled</v>
      </c>
      <c r="X54" s="22" t="str">
        <v>Credit Card</v>
      </c>
      <c r="Y54" s="22">
        <v>6990</v>
      </c>
      <c r="Z54" s="22">
        <v>3490</v>
      </c>
      <c r="AA54" s="43">
        <v>0.49928469241773965</v>
      </c>
      <c r="AB54" s="15"/>
    </row>
    <row r="55" spans="1:28" x14ac:dyDescent="0.3">
      <c r="A55" s="37" t="s">
        <v>253</v>
      </c>
      <c r="B55" s="38">
        <v>45720</v>
      </c>
      <c r="C55" s="37" t="s">
        <v>60</v>
      </c>
      <c r="D55" s="37" t="s">
        <v>31</v>
      </c>
      <c r="E55" s="37" t="s">
        <v>32</v>
      </c>
      <c r="F55" s="39">
        <v>5</v>
      </c>
      <c r="G55" s="39">
        <v>3599</v>
      </c>
      <c r="H55" s="39">
        <v>2400</v>
      </c>
      <c r="I55" s="37" t="s">
        <v>41</v>
      </c>
      <c r="J55" s="37" t="s">
        <v>26</v>
      </c>
      <c r="K55" s="40">
        <f>Table1[[#This Row],[Quantity]]*Table1[[#This Row],[Unit Price]]</f>
        <v>17995</v>
      </c>
      <c r="L55" s="39">
        <f>Table1[[#This Row],[Revenue]]-Table1[[#This Row],[Cost Price]]*Table1[[#This Row],[Quantity]]</f>
        <v>5995</v>
      </c>
      <c r="M55" s="41">
        <f>IFERROR(Table1[[#This Row],[Profit]]/Table1[[#This Row],[Revenue]],"")</f>
        <v>0.33314809669352596</v>
      </c>
      <c r="N55" s="22"/>
      <c r="O55" s="49" t="s">
        <v>253</v>
      </c>
      <c r="P55" s="50" cm="1">
        <f t="array" ref="P55:AA55">_xlfn.XLOOKUP(O55,Table1[Order ID],Table1[[Order Date]:[Profit Margin]],0,0,1)</f>
        <v>45720</v>
      </c>
      <c r="Q55" s="37" t="str">
        <v>Smart Watch</v>
      </c>
      <c r="R55" s="37" t="str">
        <v>Electronics</v>
      </c>
      <c r="S55" s="37" t="str">
        <v>North</v>
      </c>
      <c r="T55" s="37">
        <v>5</v>
      </c>
      <c r="U55" s="37">
        <v>3599</v>
      </c>
      <c r="V55" s="37">
        <v>2400</v>
      </c>
      <c r="W55" s="37" t="str">
        <v>Processing</v>
      </c>
      <c r="X55" s="37" t="str">
        <v>Credit Card</v>
      </c>
      <c r="Y55" s="37">
        <v>17995</v>
      </c>
      <c r="Z55" s="37">
        <v>5995</v>
      </c>
      <c r="AA55" s="51">
        <v>0.33314809669352596</v>
      </c>
      <c r="AB55" s="15"/>
    </row>
    <row r="56" spans="1:28" x14ac:dyDescent="0.3">
      <c r="A56" s="22" t="s">
        <v>106</v>
      </c>
      <c r="B56" s="23">
        <v>45726</v>
      </c>
      <c r="C56" s="22" t="s">
        <v>49</v>
      </c>
      <c r="D56" s="22" t="s">
        <v>22</v>
      </c>
      <c r="E56" s="22" t="s">
        <v>18</v>
      </c>
      <c r="F56" s="24">
        <v>3</v>
      </c>
      <c r="G56" s="24">
        <v>2299</v>
      </c>
      <c r="H56" s="24">
        <v>1400</v>
      </c>
      <c r="I56" s="22" t="s">
        <v>19</v>
      </c>
      <c r="J56" s="22" t="s">
        <v>34</v>
      </c>
      <c r="K56" s="25">
        <f>Table1[[#This Row],[Quantity]]*Table1[[#This Row],[Unit Price]]</f>
        <v>6897</v>
      </c>
      <c r="L56" s="24">
        <f>Table1[[#This Row],[Revenue]]-Table1[[#This Row],[Cost Price]]*Table1[[#This Row],[Quantity]]</f>
        <v>2697</v>
      </c>
      <c r="M56" s="26">
        <f>IFERROR(Table1[[#This Row],[Profit]]/Table1[[#This Row],[Revenue]],"")</f>
        <v>0.39103958242714226</v>
      </c>
      <c r="N56" s="22"/>
      <c r="O56" s="42" t="s">
        <v>106</v>
      </c>
      <c r="P56" s="27" cm="1">
        <f t="array" ref="P56:AA56">_xlfn.XLOOKUP(O56,Table1[Order ID],Table1[[Order Date]:[Profit Margin]],0,0,1)</f>
        <v>45726</v>
      </c>
      <c r="Q56" s="22" t="str">
        <v>Running Shoes</v>
      </c>
      <c r="R56" s="22" t="str">
        <v>Fashion</v>
      </c>
      <c r="S56" s="22" t="str">
        <v>Central</v>
      </c>
      <c r="T56" s="22">
        <v>3</v>
      </c>
      <c r="U56" s="22">
        <v>2299</v>
      </c>
      <c r="V56" s="22">
        <v>1400</v>
      </c>
      <c r="W56" s="22" t="str">
        <v>Delivered</v>
      </c>
      <c r="X56" s="22" t="str">
        <v>UPI</v>
      </c>
      <c r="Y56" s="22">
        <v>6897</v>
      </c>
      <c r="Z56" s="22">
        <v>2697</v>
      </c>
      <c r="AA56" s="43">
        <v>0.39103958242714226</v>
      </c>
      <c r="AB56" s="15"/>
    </row>
    <row r="57" spans="1:28" x14ac:dyDescent="0.3">
      <c r="A57" s="37" t="s">
        <v>85</v>
      </c>
      <c r="B57" s="38">
        <v>45729</v>
      </c>
      <c r="C57" s="37" t="s">
        <v>57</v>
      </c>
      <c r="D57" s="37" t="s">
        <v>17</v>
      </c>
      <c r="E57" s="37" t="s">
        <v>13</v>
      </c>
      <c r="F57" s="39">
        <v>6</v>
      </c>
      <c r="G57" s="39">
        <v>8899</v>
      </c>
      <c r="H57" s="39">
        <v>7000</v>
      </c>
      <c r="I57" s="37" t="s">
        <v>19</v>
      </c>
      <c r="J57" s="37" t="s">
        <v>26</v>
      </c>
      <c r="K57" s="40">
        <f>Table1[[#This Row],[Quantity]]*Table1[[#This Row],[Unit Price]]</f>
        <v>53394</v>
      </c>
      <c r="L57" s="39">
        <f>Table1[[#This Row],[Revenue]]-Table1[[#This Row],[Cost Price]]*Table1[[#This Row],[Quantity]]</f>
        <v>11394</v>
      </c>
      <c r="M57" s="41">
        <f>IFERROR(Table1[[#This Row],[Profit]]/Table1[[#This Row],[Revenue]],"")</f>
        <v>0.21339476345656816</v>
      </c>
      <c r="N57" s="22"/>
      <c r="O57" s="49" t="s">
        <v>85</v>
      </c>
      <c r="P57" s="50" cm="1">
        <f t="array" ref="P57:AA57">_xlfn.XLOOKUP(O57,Table1[Order ID],Table1[[Order Date]:[Profit Margin]],0,0,1)</f>
        <v>45729</v>
      </c>
      <c r="Q57" s="37" t="str">
        <v>Water Purifier</v>
      </c>
      <c r="R57" s="37" t="str">
        <v>Appliances</v>
      </c>
      <c r="S57" s="37" t="str">
        <v>South</v>
      </c>
      <c r="T57" s="37">
        <v>6</v>
      </c>
      <c r="U57" s="37">
        <v>8899</v>
      </c>
      <c r="V57" s="37">
        <v>7000</v>
      </c>
      <c r="W57" s="37" t="str">
        <v>Delivered</v>
      </c>
      <c r="X57" s="37" t="str">
        <v>Credit Card</v>
      </c>
      <c r="Y57" s="37">
        <v>53394</v>
      </c>
      <c r="Z57" s="37">
        <v>11394</v>
      </c>
      <c r="AA57" s="51">
        <v>0.21339476345656816</v>
      </c>
      <c r="AB57" s="15"/>
    </row>
    <row r="58" spans="1:28" x14ac:dyDescent="0.3">
      <c r="A58" s="22" t="s">
        <v>288</v>
      </c>
      <c r="B58" s="23">
        <v>45729</v>
      </c>
      <c r="C58" s="22" t="s">
        <v>74</v>
      </c>
      <c r="D58" s="22" t="s">
        <v>31</v>
      </c>
      <c r="E58" s="22" t="s">
        <v>28</v>
      </c>
      <c r="F58" s="24">
        <v>2</v>
      </c>
      <c r="G58" s="24">
        <v>2199</v>
      </c>
      <c r="H58" s="24">
        <v>1200</v>
      </c>
      <c r="I58" s="22" t="s">
        <v>19</v>
      </c>
      <c r="J58" s="22" t="s">
        <v>55</v>
      </c>
      <c r="K58" s="25">
        <f>Table1[[#This Row],[Quantity]]*Table1[[#This Row],[Unit Price]]</f>
        <v>4398</v>
      </c>
      <c r="L58" s="24">
        <f>Table1[[#This Row],[Revenue]]-Table1[[#This Row],[Cost Price]]*Table1[[#This Row],[Quantity]]</f>
        <v>1998</v>
      </c>
      <c r="M58" s="26">
        <f>IFERROR(Table1[[#This Row],[Profit]]/Table1[[#This Row],[Revenue]],"")</f>
        <v>0.45429740791268758</v>
      </c>
      <c r="N58" s="22"/>
      <c r="O58" s="42" t="s">
        <v>288</v>
      </c>
      <c r="P58" s="27" cm="1">
        <f t="array" ref="P58:AA58">_xlfn.XLOOKUP(O58,Table1[Order ID],Table1[[Order Date]:[Profit Margin]],0,0,1)</f>
        <v>45729</v>
      </c>
      <c r="Q58" s="22" t="str">
        <v>Boat Headphones</v>
      </c>
      <c r="R58" s="22" t="str">
        <v>Electronics</v>
      </c>
      <c r="S58" s="22" t="str">
        <v>East</v>
      </c>
      <c r="T58" s="22">
        <v>2</v>
      </c>
      <c r="U58" s="22">
        <v>2199</v>
      </c>
      <c r="V58" s="22">
        <v>1200</v>
      </c>
      <c r="W58" s="22" t="str">
        <v>Delivered</v>
      </c>
      <c r="X58" s="22" t="str">
        <v>Net Banking</v>
      </c>
      <c r="Y58" s="22">
        <v>4398</v>
      </c>
      <c r="Z58" s="22">
        <v>1998</v>
      </c>
      <c r="AA58" s="43">
        <v>0.45429740791268758</v>
      </c>
      <c r="AB58" s="15"/>
    </row>
    <row r="59" spans="1:28" x14ac:dyDescent="0.3">
      <c r="A59" s="37" t="s">
        <v>291</v>
      </c>
      <c r="B59" s="38">
        <v>45730</v>
      </c>
      <c r="C59" s="37" t="s">
        <v>37</v>
      </c>
      <c r="D59" s="37" t="s">
        <v>38</v>
      </c>
      <c r="E59" s="37" t="s">
        <v>28</v>
      </c>
      <c r="F59" s="39">
        <v>2</v>
      </c>
      <c r="G59" s="39">
        <v>49</v>
      </c>
      <c r="H59" s="39">
        <v>90</v>
      </c>
      <c r="I59" s="37" t="s">
        <v>19</v>
      </c>
      <c r="J59" s="37" t="s">
        <v>34</v>
      </c>
      <c r="K59" s="40">
        <f>Table1[[#This Row],[Quantity]]*Table1[[#This Row],[Unit Price]]</f>
        <v>98</v>
      </c>
      <c r="L59" s="39">
        <f>Table1[[#This Row],[Revenue]]-Table1[[#This Row],[Cost Price]]*Table1[[#This Row],[Quantity]]</f>
        <v>-82</v>
      </c>
      <c r="M59" s="41">
        <f>IFERROR(Table1[[#This Row],[Profit]]/Table1[[#This Row],[Revenue]],"")</f>
        <v>-0.83673469387755106</v>
      </c>
      <c r="N59" s="22"/>
      <c r="O59" s="49" t="s">
        <v>291</v>
      </c>
      <c r="P59" s="50" cm="1">
        <f t="array" ref="P59:AA59">_xlfn.XLOOKUP(O59,Table1[Order ID],Table1[[Order Date]:[Profit Margin]],0,0,1)</f>
        <v>45730</v>
      </c>
      <c r="Q59" s="37" t="str">
        <v>Coffee Mug</v>
      </c>
      <c r="R59" s="37" t="str">
        <v>Home Decor</v>
      </c>
      <c r="S59" s="37" t="str">
        <v>East</v>
      </c>
      <c r="T59" s="37">
        <v>2</v>
      </c>
      <c r="U59" s="37">
        <v>49</v>
      </c>
      <c r="V59" s="37">
        <v>90</v>
      </c>
      <c r="W59" s="37" t="str">
        <v>Delivered</v>
      </c>
      <c r="X59" s="37" t="str">
        <v>UPI</v>
      </c>
      <c r="Y59" s="37">
        <v>98</v>
      </c>
      <c r="Z59" s="37">
        <v>-82</v>
      </c>
      <c r="AA59" s="51">
        <v>-0.83673469387755106</v>
      </c>
      <c r="AB59" s="15"/>
    </row>
    <row r="60" spans="1:28" x14ac:dyDescent="0.3">
      <c r="A60" s="22" t="s">
        <v>105</v>
      </c>
      <c r="B60" s="23">
        <v>45731</v>
      </c>
      <c r="C60" s="22" t="s">
        <v>11</v>
      </c>
      <c r="D60" s="22" t="s">
        <v>12</v>
      </c>
      <c r="E60" s="22" t="s">
        <v>32</v>
      </c>
      <c r="F60" s="24">
        <v>2</v>
      </c>
      <c r="G60" s="24">
        <v>7099</v>
      </c>
      <c r="H60" s="24">
        <v>5000</v>
      </c>
      <c r="I60" s="22" t="s">
        <v>19</v>
      </c>
      <c r="J60" s="22" t="s">
        <v>34</v>
      </c>
      <c r="K60" s="25">
        <f>Table1[[#This Row],[Quantity]]*Table1[[#This Row],[Unit Price]]</f>
        <v>14198</v>
      </c>
      <c r="L60" s="24">
        <f>Table1[[#This Row],[Revenue]]-Table1[[#This Row],[Cost Price]]*Table1[[#This Row],[Quantity]]</f>
        <v>4198</v>
      </c>
      <c r="M60" s="26">
        <f>IFERROR(Table1[[#This Row],[Profit]]/Table1[[#This Row],[Revenue]],"")</f>
        <v>0.29567544724609102</v>
      </c>
      <c r="N60" s="22"/>
      <c r="O60" s="42" t="s">
        <v>105</v>
      </c>
      <c r="P60" s="27" cm="1">
        <f t="array" ref="P60:AA60">_xlfn.XLOOKUP(O60,Table1[Order ID],Table1[[Order Date]:[Profit Margin]],0,0,1)</f>
        <v>45731</v>
      </c>
      <c r="Q60" s="22" t="str">
        <v>Study Table</v>
      </c>
      <c r="R60" s="22" t="str">
        <v>Furniture</v>
      </c>
      <c r="S60" s="22" t="str">
        <v>North</v>
      </c>
      <c r="T60" s="22">
        <v>2</v>
      </c>
      <c r="U60" s="22">
        <v>7099</v>
      </c>
      <c r="V60" s="22">
        <v>5000</v>
      </c>
      <c r="W60" s="22" t="str">
        <v>Delivered</v>
      </c>
      <c r="X60" s="22" t="str">
        <v>UPI</v>
      </c>
      <c r="Y60" s="22">
        <v>14198</v>
      </c>
      <c r="Z60" s="22">
        <v>4198</v>
      </c>
      <c r="AA60" s="43">
        <v>0.29567544724609102</v>
      </c>
      <c r="AB60" s="15"/>
    </row>
    <row r="61" spans="1:28" x14ac:dyDescent="0.3">
      <c r="A61" s="37" t="s">
        <v>245</v>
      </c>
      <c r="B61" s="38">
        <v>45732</v>
      </c>
      <c r="C61" s="37" t="s">
        <v>54</v>
      </c>
      <c r="D61" s="37" t="s">
        <v>27</v>
      </c>
      <c r="E61" s="37" t="s">
        <v>23</v>
      </c>
      <c r="F61" s="39">
        <v>1</v>
      </c>
      <c r="G61" s="39">
        <v>199</v>
      </c>
      <c r="H61" s="39">
        <v>180</v>
      </c>
      <c r="I61" s="37" t="s">
        <v>19</v>
      </c>
      <c r="J61" s="37" t="s">
        <v>26</v>
      </c>
      <c r="K61" s="40">
        <f>Table1[[#This Row],[Quantity]]*Table1[[#This Row],[Unit Price]]</f>
        <v>199</v>
      </c>
      <c r="L61" s="39">
        <f>Table1[[#This Row],[Revenue]]-Table1[[#This Row],[Cost Price]]*Table1[[#This Row],[Quantity]]</f>
        <v>19</v>
      </c>
      <c r="M61" s="41">
        <f>IFERROR(Table1[[#This Row],[Profit]]/Table1[[#This Row],[Revenue]],"")</f>
        <v>9.5477386934673364E-2</v>
      </c>
      <c r="N61" s="22"/>
      <c r="O61" s="49" t="s">
        <v>245</v>
      </c>
      <c r="P61" s="50" cm="1">
        <f t="array" ref="P61:AA61">_xlfn.XLOOKUP(O61,Table1[Order ID],Table1[[Order Date]:[Profit Margin]],0,0,1)</f>
        <v>45732</v>
      </c>
      <c r="Q61" s="37" t="str">
        <v>Printer Paper</v>
      </c>
      <c r="R61" s="37" t="str">
        <v>Stationery</v>
      </c>
      <c r="S61" s="37" t="str">
        <v>West</v>
      </c>
      <c r="T61" s="37">
        <v>1</v>
      </c>
      <c r="U61" s="37">
        <v>199</v>
      </c>
      <c r="V61" s="37">
        <v>180</v>
      </c>
      <c r="W61" s="37" t="str">
        <v>Delivered</v>
      </c>
      <c r="X61" s="37" t="str">
        <v>Credit Card</v>
      </c>
      <c r="Y61" s="37">
        <v>199</v>
      </c>
      <c r="Z61" s="37">
        <v>19</v>
      </c>
      <c r="AA61" s="51">
        <v>9.5477386934673364E-2</v>
      </c>
      <c r="AB61" s="15"/>
    </row>
    <row r="62" spans="1:28" x14ac:dyDescent="0.3">
      <c r="A62" s="22" t="s">
        <v>237</v>
      </c>
      <c r="B62" s="23">
        <v>45733</v>
      </c>
      <c r="C62" s="22" t="s">
        <v>51</v>
      </c>
      <c r="D62" s="22" t="s">
        <v>31</v>
      </c>
      <c r="E62" s="22" t="s">
        <v>28</v>
      </c>
      <c r="F62" s="24">
        <v>6</v>
      </c>
      <c r="G62" s="24">
        <v>2999</v>
      </c>
      <c r="H62" s="24">
        <v>1800</v>
      </c>
      <c r="I62" s="22" t="s">
        <v>33</v>
      </c>
      <c r="J62" s="22" t="s">
        <v>52</v>
      </c>
      <c r="K62" s="25">
        <f>Table1[[#This Row],[Quantity]]*Table1[[#This Row],[Unit Price]]</f>
        <v>17994</v>
      </c>
      <c r="L62" s="24">
        <f>Table1[[#This Row],[Revenue]]-Table1[[#This Row],[Cost Price]]*Table1[[#This Row],[Quantity]]</f>
        <v>7194</v>
      </c>
      <c r="M62" s="26">
        <f>IFERROR(Table1[[#This Row],[Profit]]/Table1[[#This Row],[Revenue]],"")</f>
        <v>0.39979993331110369</v>
      </c>
      <c r="N62" s="22"/>
      <c r="O62" s="42" t="s">
        <v>237</v>
      </c>
      <c r="P62" s="27" cm="1">
        <f t="array" ref="P62:AA62">_xlfn.XLOOKUP(O62,Table1[Order ID],Table1[[Order Date]:[Profit Margin]],0,0,1)</f>
        <v>45733</v>
      </c>
      <c r="Q62" s="22" t="str">
        <v>Bluetooth Speaker</v>
      </c>
      <c r="R62" s="22" t="str">
        <v>Electronics</v>
      </c>
      <c r="S62" s="22" t="str">
        <v>East</v>
      </c>
      <c r="T62" s="22">
        <v>6</v>
      </c>
      <c r="U62" s="22">
        <v>2999</v>
      </c>
      <c r="V62" s="22">
        <v>1800</v>
      </c>
      <c r="W62" s="22" t="str">
        <v>Shipped</v>
      </c>
      <c r="X62" s="22" t="str">
        <v>Cash</v>
      </c>
      <c r="Y62" s="22">
        <v>17994</v>
      </c>
      <c r="Z62" s="22">
        <v>7194</v>
      </c>
      <c r="AA62" s="43">
        <v>0.39979993331110369</v>
      </c>
      <c r="AB62" s="15"/>
    </row>
    <row r="63" spans="1:28" x14ac:dyDescent="0.3">
      <c r="A63" s="37" t="s">
        <v>323</v>
      </c>
      <c r="B63" s="38">
        <v>45734</v>
      </c>
      <c r="C63" s="37" t="s">
        <v>37</v>
      </c>
      <c r="D63" s="37" t="s">
        <v>38</v>
      </c>
      <c r="E63" s="37" t="s">
        <v>32</v>
      </c>
      <c r="F63" s="39">
        <v>8</v>
      </c>
      <c r="G63" s="39">
        <v>249</v>
      </c>
      <c r="H63" s="39">
        <v>90</v>
      </c>
      <c r="I63" s="37" t="s">
        <v>33</v>
      </c>
      <c r="J63" s="37" t="s">
        <v>26</v>
      </c>
      <c r="K63" s="40">
        <f>Table1[[#This Row],[Quantity]]*Table1[[#This Row],[Unit Price]]</f>
        <v>1992</v>
      </c>
      <c r="L63" s="39">
        <f>Table1[[#This Row],[Revenue]]-Table1[[#This Row],[Cost Price]]*Table1[[#This Row],[Quantity]]</f>
        <v>1272</v>
      </c>
      <c r="M63" s="41">
        <f>IFERROR(Table1[[#This Row],[Profit]]/Table1[[#This Row],[Revenue]],"")</f>
        <v>0.63855421686746983</v>
      </c>
      <c r="N63" s="22"/>
      <c r="O63" s="49" t="s">
        <v>323</v>
      </c>
      <c r="P63" s="50" cm="1">
        <f t="array" ref="P63:AA63">_xlfn.XLOOKUP(O63,Table1[Order ID],Table1[[Order Date]:[Profit Margin]],0,0,1)</f>
        <v>45734</v>
      </c>
      <c r="Q63" s="37" t="str">
        <v>Coffee Mug</v>
      </c>
      <c r="R63" s="37" t="str">
        <v>Home Decor</v>
      </c>
      <c r="S63" s="37" t="str">
        <v>North</v>
      </c>
      <c r="T63" s="37">
        <v>8</v>
      </c>
      <c r="U63" s="37">
        <v>249</v>
      </c>
      <c r="V63" s="37">
        <v>90</v>
      </c>
      <c r="W63" s="37" t="str">
        <v>Shipped</v>
      </c>
      <c r="X63" s="37" t="str">
        <v>Credit Card</v>
      </c>
      <c r="Y63" s="37">
        <v>1992</v>
      </c>
      <c r="Z63" s="37">
        <v>1272</v>
      </c>
      <c r="AA63" s="51">
        <v>0.63855421686746983</v>
      </c>
      <c r="AB63" s="15"/>
    </row>
    <row r="64" spans="1:28" x14ac:dyDescent="0.3">
      <c r="A64" s="22" t="s">
        <v>69</v>
      </c>
      <c r="B64" s="23">
        <v>45735</v>
      </c>
      <c r="C64" s="22" t="s">
        <v>65</v>
      </c>
      <c r="D64" s="22" t="s">
        <v>12</v>
      </c>
      <c r="E64" s="22" t="s">
        <v>13</v>
      </c>
      <c r="F64" s="24">
        <v>3</v>
      </c>
      <c r="G64" s="24">
        <v>5399</v>
      </c>
      <c r="H64" s="24">
        <v>3800</v>
      </c>
      <c r="I64" s="22" t="s">
        <v>19</v>
      </c>
      <c r="J64" s="22" t="s">
        <v>52</v>
      </c>
      <c r="K64" s="25">
        <f>Table1[[#This Row],[Quantity]]*Table1[[#This Row],[Unit Price]]</f>
        <v>16197</v>
      </c>
      <c r="L64" s="24">
        <f>Table1[[#This Row],[Revenue]]-Table1[[#This Row],[Cost Price]]*Table1[[#This Row],[Quantity]]</f>
        <v>4797</v>
      </c>
      <c r="M64" s="26">
        <f>IFERROR(Table1[[#This Row],[Profit]]/Table1[[#This Row],[Revenue]],"")</f>
        <v>0.29616595665864048</v>
      </c>
      <c r="N64" s="22"/>
      <c r="O64" s="42" t="s">
        <v>69</v>
      </c>
      <c r="P64" s="27" cm="1">
        <f t="array" ref="P64:AA64">_xlfn.XLOOKUP(O64,Table1[Order ID],Table1[[Order Date]:[Profit Margin]],0,0,1)</f>
        <v>45735</v>
      </c>
      <c r="Q64" s="22" t="str">
        <v>Office Chair</v>
      </c>
      <c r="R64" s="22" t="str">
        <v>Furniture</v>
      </c>
      <c r="S64" s="22" t="str">
        <v>South</v>
      </c>
      <c r="T64" s="22">
        <v>3</v>
      </c>
      <c r="U64" s="22">
        <v>5399</v>
      </c>
      <c r="V64" s="22">
        <v>3800</v>
      </c>
      <c r="W64" s="22" t="str">
        <v>Delivered</v>
      </c>
      <c r="X64" s="22" t="str">
        <v>Cash</v>
      </c>
      <c r="Y64" s="22">
        <v>16197</v>
      </c>
      <c r="Z64" s="22">
        <v>4797</v>
      </c>
      <c r="AA64" s="43">
        <v>0.29616595665864048</v>
      </c>
      <c r="AB64" s="15"/>
    </row>
    <row r="65" spans="1:28" x14ac:dyDescent="0.3">
      <c r="A65" s="37" t="s">
        <v>218</v>
      </c>
      <c r="B65" s="38">
        <v>45736</v>
      </c>
      <c r="C65" s="37" t="s">
        <v>11</v>
      </c>
      <c r="D65" s="37" t="s">
        <v>12</v>
      </c>
      <c r="E65" s="37" t="s">
        <v>32</v>
      </c>
      <c r="F65" s="39">
        <v>7</v>
      </c>
      <c r="G65" s="39">
        <v>6899</v>
      </c>
      <c r="H65" s="39">
        <v>5000</v>
      </c>
      <c r="I65" s="37" t="s">
        <v>33</v>
      </c>
      <c r="J65" s="37" t="s">
        <v>55</v>
      </c>
      <c r="K65" s="40">
        <f>Table1[[#This Row],[Quantity]]*Table1[[#This Row],[Unit Price]]</f>
        <v>48293</v>
      </c>
      <c r="L65" s="39">
        <f>Table1[[#This Row],[Revenue]]-Table1[[#This Row],[Cost Price]]*Table1[[#This Row],[Quantity]]</f>
        <v>13293</v>
      </c>
      <c r="M65" s="41">
        <f>IFERROR(Table1[[#This Row],[Profit]]/Table1[[#This Row],[Revenue]],"")</f>
        <v>0.27525728366429919</v>
      </c>
      <c r="N65" s="22"/>
      <c r="O65" s="49" t="s">
        <v>218</v>
      </c>
      <c r="P65" s="50" cm="1">
        <f t="array" ref="P65:AA65">_xlfn.XLOOKUP(O65,Table1[Order ID],Table1[[Order Date]:[Profit Margin]],0,0,1)</f>
        <v>45736</v>
      </c>
      <c r="Q65" s="37" t="str">
        <v>Study Table</v>
      </c>
      <c r="R65" s="37" t="str">
        <v>Furniture</v>
      </c>
      <c r="S65" s="37" t="str">
        <v>North</v>
      </c>
      <c r="T65" s="37">
        <v>7</v>
      </c>
      <c r="U65" s="37">
        <v>6899</v>
      </c>
      <c r="V65" s="37">
        <v>5000</v>
      </c>
      <c r="W65" s="37" t="str">
        <v>Shipped</v>
      </c>
      <c r="X65" s="37" t="str">
        <v>Net Banking</v>
      </c>
      <c r="Y65" s="37">
        <v>48293</v>
      </c>
      <c r="Z65" s="37">
        <v>13293</v>
      </c>
      <c r="AA65" s="51">
        <v>0.27525728366429919</v>
      </c>
      <c r="AB65" s="15"/>
    </row>
    <row r="66" spans="1:28" x14ac:dyDescent="0.3">
      <c r="A66" s="22" t="s">
        <v>133</v>
      </c>
      <c r="B66" s="23">
        <v>45737</v>
      </c>
      <c r="C66" s="22" t="s">
        <v>91</v>
      </c>
      <c r="D66" s="22" t="s">
        <v>38</v>
      </c>
      <c r="E66" s="22" t="s">
        <v>28</v>
      </c>
      <c r="F66" s="24">
        <v>5</v>
      </c>
      <c r="G66" s="24">
        <v>799</v>
      </c>
      <c r="H66" s="24">
        <v>500</v>
      </c>
      <c r="I66" s="22" t="s">
        <v>19</v>
      </c>
      <c r="J66" s="22" t="s">
        <v>52</v>
      </c>
      <c r="K66" s="25">
        <f>Table1[[#This Row],[Quantity]]*Table1[[#This Row],[Unit Price]]</f>
        <v>3995</v>
      </c>
      <c r="L66" s="24">
        <f>Table1[[#This Row],[Revenue]]-Table1[[#This Row],[Cost Price]]*Table1[[#This Row],[Quantity]]</f>
        <v>1495</v>
      </c>
      <c r="M66" s="26">
        <f>IFERROR(Table1[[#This Row],[Profit]]/Table1[[#This Row],[Revenue]],"")</f>
        <v>0.37421777221526908</v>
      </c>
      <c r="N66" s="22"/>
      <c r="O66" s="42" t="s">
        <v>133</v>
      </c>
      <c r="P66" s="27" cm="1">
        <f t="array" ref="P66:AA66">_xlfn.XLOOKUP(O66,Table1[Order ID],Table1[[Order Date]:[Profit Margin]],0,0,1)</f>
        <v>45737</v>
      </c>
      <c r="Q66" s="22" t="str">
        <v>LED Desk Lamp</v>
      </c>
      <c r="R66" s="22" t="str">
        <v>Home Decor</v>
      </c>
      <c r="S66" s="22" t="str">
        <v>East</v>
      </c>
      <c r="T66" s="22">
        <v>5</v>
      </c>
      <c r="U66" s="22">
        <v>799</v>
      </c>
      <c r="V66" s="22">
        <v>500</v>
      </c>
      <c r="W66" s="22" t="str">
        <v>Delivered</v>
      </c>
      <c r="X66" s="22" t="str">
        <v>Cash</v>
      </c>
      <c r="Y66" s="22">
        <v>3995</v>
      </c>
      <c r="Z66" s="22">
        <v>1495</v>
      </c>
      <c r="AA66" s="43">
        <v>0.37421777221526908</v>
      </c>
      <c r="AB66" s="15"/>
    </row>
    <row r="67" spans="1:28" x14ac:dyDescent="0.3">
      <c r="A67" s="37" t="s">
        <v>92</v>
      </c>
      <c r="B67" s="38">
        <v>45738</v>
      </c>
      <c r="C67" s="37" t="s">
        <v>11</v>
      </c>
      <c r="D67" s="37" t="s">
        <v>12</v>
      </c>
      <c r="E67" s="37" t="s">
        <v>23</v>
      </c>
      <c r="F67" s="39">
        <v>1</v>
      </c>
      <c r="G67" s="39">
        <v>7099</v>
      </c>
      <c r="H67" s="39">
        <v>5000</v>
      </c>
      <c r="I67" s="37" t="s">
        <v>19</v>
      </c>
      <c r="J67" s="37" t="s">
        <v>34</v>
      </c>
      <c r="K67" s="40">
        <f>Table1[[#This Row],[Quantity]]*Table1[[#This Row],[Unit Price]]</f>
        <v>7099</v>
      </c>
      <c r="L67" s="39">
        <f>Table1[[#This Row],[Revenue]]-Table1[[#This Row],[Cost Price]]*Table1[[#This Row],[Quantity]]</f>
        <v>2099</v>
      </c>
      <c r="M67" s="41">
        <f>IFERROR(Table1[[#This Row],[Profit]]/Table1[[#This Row],[Revenue]],"")</f>
        <v>0.29567544724609102</v>
      </c>
      <c r="N67" s="22"/>
      <c r="O67" s="49" t="s">
        <v>92</v>
      </c>
      <c r="P67" s="50" cm="1">
        <f t="array" ref="P67:AA67">_xlfn.XLOOKUP(O67,Table1[Order ID],Table1[[Order Date]:[Profit Margin]],0,0,1)</f>
        <v>45738</v>
      </c>
      <c r="Q67" s="37" t="str">
        <v>Study Table</v>
      </c>
      <c r="R67" s="37" t="str">
        <v>Furniture</v>
      </c>
      <c r="S67" s="37" t="str">
        <v>West</v>
      </c>
      <c r="T67" s="37">
        <v>1</v>
      </c>
      <c r="U67" s="37">
        <v>7099</v>
      </c>
      <c r="V67" s="37">
        <v>5000</v>
      </c>
      <c r="W67" s="37" t="str">
        <v>Delivered</v>
      </c>
      <c r="X67" s="37" t="str">
        <v>UPI</v>
      </c>
      <c r="Y67" s="37">
        <v>7099</v>
      </c>
      <c r="Z67" s="37">
        <v>2099</v>
      </c>
      <c r="AA67" s="51">
        <v>0.29567544724609102</v>
      </c>
      <c r="AB67" s="15"/>
    </row>
    <row r="68" spans="1:28" x14ac:dyDescent="0.3">
      <c r="A68" s="22" t="s">
        <v>101</v>
      </c>
      <c r="B68" s="23">
        <v>45738</v>
      </c>
      <c r="C68" s="22" t="s">
        <v>60</v>
      </c>
      <c r="D68" s="22" t="s">
        <v>31</v>
      </c>
      <c r="E68" s="22" t="s">
        <v>32</v>
      </c>
      <c r="F68" s="24">
        <v>9</v>
      </c>
      <c r="G68" s="24">
        <v>3499</v>
      </c>
      <c r="H68" s="24">
        <v>2400</v>
      </c>
      <c r="I68" s="22" t="s">
        <v>19</v>
      </c>
      <c r="J68" s="22" t="s">
        <v>52</v>
      </c>
      <c r="K68" s="25">
        <f>Table1[[#This Row],[Quantity]]*Table1[[#This Row],[Unit Price]]</f>
        <v>31491</v>
      </c>
      <c r="L68" s="24">
        <f>Table1[[#This Row],[Revenue]]-Table1[[#This Row],[Cost Price]]*Table1[[#This Row],[Quantity]]</f>
        <v>9891</v>
      </c>
      <c r="M68" s="26">
        <f>IFERROR(Table1[[#This Row],[Profit]]/Table1[[#This Row],[Revenue]],"")</f>
        <v>0.31408973992569306</v>
      </c>
      <c r="N68" s="22"/>
      <c r="O68" s="42" t="s">
        <v>101</v>
      </c>
      <c r="P68" s="27" cm="1">
        <f t="array" ref="P68:AA68">_xlfn.XLOOKUP(O68,Table1[Order ID],Table1[[Order Date]:[Profit Margin]],0,0,1)</f>
        <v>45738</v>
      </c>
      <c r="Q68" s="22" t="str">
        <v>Smart Watch</v>
      </c>
      <c r="R68" s="22" t="str">
        <v>Electronics</v>
      </c>
      <c r="S68" s="22" t="str">
        <v>North</v>
      </c>
      <c r="T68" s="22">
        <v>9</v>
      </c>
      <c r="U68" s="22">
        <v>3499</v>
      </c>
      <c r="V68" s="22">
        <v>2400</v>
      </c>
      <c r="W68" s="22" t="str">
        <v>Delivered</v>
      </c>
      <c r="X68" s="22" t="str">
        <v>Cash</v>
      </c>
      <c r="Y68" s="22">
        <v>31491</v>
      </c>
      <c r="Z68" s="22">
        <v>9891</v>
      </c>
      <c r="AA68" s="43">
        <v>0.31408973992569306</v>
      </c>
      <c r="AB68" s="15"/>
    </row>
    <row r="69" spans="1:28" x14ac:dyDescent="0.3">
      <c r="A69" s="37" t="s">
        <v>73</v>
      </c>
      <c r="B69" s="38">
        <v>45739</v>
      </c>
      <c r="C69" s="37" t="s">
        <v>74</v>
      </c>
      <c r="D69" s="37" t="s">
        <v>31</v>
      </c>
      <c r="E69" s="37" t="s">
        <v>13</v>
      </c>
      <c r="F69" s="39">
        <v>10</v>
      </c>
      <c r="G69" s="39">
        <v>1899</v>
      </c>
      <c r="H69" s="39">
        <v>1200</v>
      </c>
      <c r="I69" s="37" t="s">
        <v>19</v>
      </c>
      <c r="J69" s="37" t="s">
        <v>52</v>
      </c>
      <c r="K69" s="40">
        <f>Table1[[#This Row],[Quantity]]*Table1[[#This Row],[Unit Price]]</f>
        <v>18990</v>
      </c>
      <c r="L69" s="39">
        <f>Table1[[#This Row],[Revenue]]-Table1[[#This Row],[Cost Price]]*Table1[[#This Row],[Quantity]]</f>
        <v>6990</v>
      </c>
      <c r="M69" s="41">
        <f>IFERROR(Table1[[#This Row],[Profit]]/Table1[[#This Row],[Revenue]],"")</f>
        <v>0.36808846761453395</v>
      </c>
      <c r="N69" s="22"/>
      <c r="O69" s="49" t="s">
        <v>73</v>
      </c>
      <c r="P69" s="50" cm="1">
        <f t="array" ref="P69:AA69">_xlfn.XLOOKUP(O69,Table1[Order ID],Table1[[Order Date]:[Profit Margin]],0,0,1)</f>
        <v>45739</v>
      </c>
      <c r="Q69" s="37" t="str">
        <v>Boat Headphones</v>
      </c>
      <c r="R69" s="37" t="str">
        <v>Electronics</v>
      </c>
      <c r="S69" s="37" t="str">
        <v>South</v>
      </c>
      <c r="T69" s="37">
        <v>10</v>
      </c>
      <c r="U69" s="37">
        <v>1899</v>
      </c>
      <c r="V69" s="37">
        <v>1200</v>
      </c>
      <c r="W69" s="37" t="str">
        <v>Delivered</v>
      </c>
      <c r="X69" s="37" t="str">
        <v>Cash</v>
      </c>
      <c r="Y69" s="37">
        <v>18990</v>
      </c>
      <c r="Z69" s="37">
        <v>6990</v>
      </c>
      <c r="AA69" s="51">
        <v>0.36808846761453395</v>
      </c>
      <c r="AB69" s="15"/>
    </row>
    <row r="70" spans="1:28" x14ac:dyDescent="0.3">
      <c r="A70" s="22" t="s">
        <v>25</v>
      </c>
      <c r="B70" s="23">
        <v>45740</v>
      </c>
      <c r="C70" s="22" t="s">
        <v>21</v>
      </c>
      <c r="D70" s="22" t="s">
        <v>22</v>
      </c>
      <c r="E70" s="22" t="s">
        <v>18</v>
      </c>
      <c r="F70" s="24">
        <v>3</v>
      </c>
      <c r="G70" s="24">
        <v>799</v>
      </c>
      <c r="H70" s="24">
        <v>350</v>
      </c>
      <c r="I70" s="22" t="s">
        <v>24</v>
      </c>
      <c r="J70" s="22" t="s">
        <v>26</v>
      </c>
      <c r="K70" s="25">
        <f>Table1[[#This Row],[Quantity]]*Table1[[#This Row],[Unit Price]]</f>
        <v>2397</v>
      </c>
      <c r="L70" s="24">
        <f>Table1[[#This Row],[Revenue]]-Table1[[#This Row],[Cost Price]]*Table1[[#This Row],[Quantity]]</f>
        <v>1347</v>
      </c>
      <c r="M70" s="26">
        <f>IFERROR(Table1[[#This Row],[Profit]]/Table1[[#This Row],[Revenue]],"")</f>
        <v>0.56195244055068838</v>
      </c>
      <c r="N70" s="22"/>
      <c r="O70" s="42" t="s">
        <v>25</v>
      </c>
      <c r="P70" s="27" cm="1">
        <f t="array" ref="P70:AA70">_xlfn.XLOOKUP(O70,Table1[Order ID],Table1[[Order Date]:[Profit Margin]],0,0,1)</f>
        <v>45740</v>
      </c>
      <c r="Q70" s="22" t="str">
        <v>Cotton T-Shirt</v>
      </c>
      <c r="R70" s="22" t="str">
        <v>Fashion</v>
      </c>
      <c r="S70" s="22" t="str">
        <v>Central</v>
      </c>
      <c r="T70" s="22">
        <v>3</v>
      </c>
      <c r="U70" s="22">
        <v>799</v>
      </c>
      <c r="V70" s="22">
        <v>350</v>
      </c>
      <c r="W70" s="22" t="str">
        <v>Cancelled</v>
      </c>
      <c r="X70" s="22" t="str">
        <v>Credit Card</v>
      </c>
      <c r="Y70" s="22">
        <v>2397</v>
      </c>
      <c r="Z70" s="22">
        <v>1347</v>
      </c>
      <c r="AA70" s="43">
        <v>0.56195244055068838</v>
      </c>
      <c r="AB70" s="15"/>
    </row>
    <row r="71" spans="1:28" x14ac:dyDescent="0.3">
      <c r="A71" s="37" t="s">
        <v>149</v>
      </c>
      <c r="B71" s="38">
        <v>45742</v>
      </c>
      <c r="C71" s="37" t="s">
        <v>91</v>
      </c>
      <c r="D71" s="37" t="s">
        <v>38</v>
      </c>
      <c r="E71" s="37" t="s">
        <v>32</v>
      </c>
      <c r="F71" s="39">
        <v>4</v>
      </c>
      <c r="G71" s="39">
        <v>799</v>
      </c>
      <c r="H71" s="39">
        <v>500</v>
      </c>
      <c r="I71" s="37" t="s">
        <v>19</v>
      </c>
      <c r="J71" s="37" t="s">
        <v>55</v>
      </c>
      <c r="K71" s="40">
        <f>Table1[[#This Row],[Quantity]]*Table1[[#This Row],[Unit Price]]</f>
        <v>3196</v>
      </c>
      <c r="L71" s="39">
        <f>Table1[[#This Row],[Revenue]]-Table1[[#This Row],[Cost Price]]*Table1[[#This Row],[Quantity]]</f>
        <v>1196</v>
      </c>
      <c r="M71" s="41">
        <f>IFERROR(Table1[[#This Row],[Profit]]/Table1[[#This Row],[Revenue]],"")</f>
        <v>0.37421777221526908</v>
      </c>
      <c r="N71" s="22"/>
      <c r="O71" s="49" t="s">
        <v>149</v>
      </c>
      <c r="P71" s="50" cm="1">
        <f t="array" ref="P71:AA71">_xlfn.XLOOKUP(O71,Table1[Order ID],Table1[[Order Date]:[Profit Margin]],0,0,1)</f>
        <v>45742</v>
      </c>
      <c r="Q71" s="37" t="str">
        <v>LED Desk Lamp</v>
      </c>
      <c r="R71" s="37" t="str">
        <v>Home Decor</v>
      </c>
      <c r="S71" s="37" t="str">
        <v>North</v>
      </c>
      <c r="T71" s="37">
        <v>4</v>
      </c>
      <c r="U71" s="37">
        <v>799</v>
      </c>
      <c r="V71" s="37">
        <v>500</v>
      </c>
      <c r="W71" s="37" t="str">
        <v>Delivered</v>
      </c>
      <c r="X71" s="37" t="str">
        <v>Net Banking</v>
      </c>
      <c r="Y71" s="37">
        <v>3196</v>
      </c>
      <c r="Z71" s="37">
        <v>1196</v>
      </c>
      <c r="AA71" s="51">
        <v>0.37421777221526908</v>
      </c>
      <c r="AB71" s="15"/>
    </row>
    <row r="72" spans="1:28" x14ac:dyDescent="0.3">
      <c r="A72" s="22" t="s">
        <v>240</v>
      </c>
      <c r="B72" s="23">
        <v>45742</v>
      </c>
      <c r="C72" s="22" t="s">
        <v>37</v>
      </c>
      <c r="D72" s="22" t="s">
        <v>38</v>
      </c>
      <c r="E72" s="22" t="s">
        <v>28</v>
      </c>
      <c r="F72" s="24">
        <v>7</v>
      </c>
      <c r="G72" s="24">
        <v>149</v>
      </c>
      <c r="H72" s="24">
        <v>90</v>
      </c>
      <c r="I72" s="22" t="s">
        <v>24</v>
      </c>
      <c r="J72" s="22" t="s">
        <v>34</v>
      </c>
      <c r="K72" s="25">
        <f>Table1[[#This Row],[Quantity]]*Table1[[#This Row],[Unit Price]]</f>
        <v>1043</v>
      </c>
      <c r="L72" s="24">
        <f>Table1[[#This Row],[Revenue]]-Table1[[#This Row],[Cost Price]]*Table1[[#This Row],[Quantity]]</f>
        <v>413</v>
      </c>
      <c r="M72" s="26">
        <f>IFERROR(Table1[[#This Row],[Profit]]/Table1[[#This Row],[Revenue]],"")</f>
        <v>0.39597315436241609</v>
      </c>
      <c r="N72" s="22"/>
      <c r="O72" s="42" t="s">
        <v>240</v>
      </c>
      <c r="P72" s="27" cm="1">
        <f t="array" ref="P72:AA72">_xlfn.XLOOKUP(O72,Table1[Order ID],Table1[[Order Date]:[Profit Margin]],0,0,1)</f>
        <v>45742</v>
      </c>
      <c r="Q72" s="22" t="str">
        <v>Coffee Mug</v>
      </c>
      <c r="R72" s="22" t="str">
        <v>Home Decor</v>
      </c>
      <c r="S72" s="22" t="str">
        <v>East</v>
      </c>
      <c r="T72" s="22">
        <v>7</v>
      </c>
      <c r="U72" s="22">
        <v>149</v>
      </c>
      <c r="V72" s="22">
        <v>90</v>
      </c>
      <c r="W72" s="22" t="str">
        <v>Cancelled</v>
      </c>
      <c r="X72" s="22" t="str">
        <v>UPI</v>
      </c>
      <c r="Y72" s="22">
        <v>1043</v>
      </c>
      <c r="Z72" s="22">
        <v>413</v>
      </c>
      <c r="AA72" s="43">
        <v>0.39597315436241609</v>
      </c>
      <c r="AB72" s="15"/>
    </row>
    <row r="73" spans="1:28" x14ac:dyDescent="0.3">
      <c r="A73" s="37" t="s">
        <v>135</v>
      </c>
      <c r="B73" s="38">
        <v>45744</v>
      </c>
      <c r="C73" s="37" t="s">
        <v>57</v>
      </c>
      <c r="D73" s="37" t="s">
        <v>17</v>
      </c>
      <c r="E73" s="37" t="s">
        <v>32</v>
      </c>
      <c r="F73" s="39">
        <v>3</v>
      </c>
      <c r="G73" s="39">
        <v>8999</v>
      </c>
      <c r="H73" s="39">
        <v>7000</v>
      </c>
      <c r="I73" s="37" t="s">
        <v>14</v>
      </c>
      <c r="J73" s="37" t="s">
        <v>55</v>
      </c>
      <c r="K73" s="40">
        <f>Table1[[#This Row],[Quantity]]*Table1[[#This Row],[Unit Price]]</f>
        <v>26997</v>
      </c>
      <c r="L73" s="39">
        <f>Table1[[#This Row],[Revenue]]-Table1[[#This Row],[Cost Price]]*Table1[[#This Row],[Quantity]]</f>
        <v>5997</v>
      </c>
      <c r="M73" s="41">
        <f>IFERROR(Table1[[#This Row],[Profit]]/Table1[[#This Row],[Revenue]],"")</f>
        <v>0.22213579286587398</v>
      </c>
      <c r="N73" s="22"/>
      <c r="O73" s="49" t="s">
        <v>135</v>
      </c>
      <c r="P73" s="50" cm="1">
        <f t="array" ref="P73:AA73">_xlfn.XLOOKUP(O73,Table1[Order ID],Table1[[Order Date]:[Profit Margin]],0,0,1)</f>
        <v>45744</v>
      </c>
      <c r="Q73" s="37" t="str">
        <v>Water Purifier</v>
      </c>
      <c r="R73" s="37" t="str">
        <v>Appliances</v>
      </c>
      <c r="S73" s="37" t="str">
        <v>North</v>
      </c>
      <c r="T73" s="37">
        <v>3</v>
      </c>
      <c r="U73" s="37">
        <v>8999</v>
      </c>
      <c r="V73" s="37">
        <v>7000</v>
      </c>
      <c r="W73" s="37" t="str">
        <v>Returned</v>
      </c>
      <c r="X73" s="37" t="str">
        <v>Net Banking</v>
      </c>
      <c r="Y73" s="37">
        <v>26997</v>
      </c>
      <c r="Z73" s="37">
        <v>5997</v>
      </c>
      <c r="AA73" s="51">
        <v>0.22213579286587398</v>
      </c>
      <c r="AB73" s="15"/>
    </row>
    <row r="74" spans="1:28" x14ac:dyDescent="0.3">
      <c r="A74" s="22" t="s">
        <v>258</v>
      </c>
      <c r="B74" s="23">
        <v>45744</v>
      </c>
      <c r="C74" s="22" t="s">
        <v>65</v>
      </c>
      <c r="D74" s="22" t="s">
        <v>12</v>
      </c>
      <c r="E74" s="22" t="s">
        <v>32</v>
      </c>
      <c r="F74" s="24">
        <v>4</v>
      </c>
      <c r="G74" s="24">
        <v>5399</v>
      </c>
      <c r="H74" s="24">
        <v>3800</v>
      </c>
      <c r="I74" s="22" t="s">
        <v>33</v>
      </c>
      <c r="J74" s="22" t="s">
        <v>34</v>
      </c>
      <c r="K74" s="25">
        <f>Table1[[#This Row],[Quantity]]*Table1[[#This Row],[Unit Price]]</f>
        <v>21596</v>
      </c>
      <c r="L74" s="24">
        <f>Table1[[#This Row],[Revenue]]-Table1[[#This Row],[Cost Price]]*Table1[[#This Row],[Quantity]]</f>
        <v>6396</v>
      </c>
      <c r="M74" s="26">
        <f>IFERROR(Table1[[#This Row],[Profit]]/Table1[[#This Row],[Revenue]],"")</f>
        <v>0.29616595665864048</v>
      </c>
      <c r="N74" s="22"/>
      <c r="O74" s="42" t="s">
        <v>258</v>
      </c>
      <c r="P74" s="27" cm="1">
        <f t="array" ref="P74:AA74">_xlfn.XLOOKUP(O74,Table1[Order ID],Table1[[Order Date]:[Profit Margin]],0,0,1)</f>
        <v>45744</v>
      </c>
      <c r="Q74" s="22" t="str">
        <v>Office Chair</v>
      </c>
      <c r="R74" s="22" t="str">
        <v>Furniture</v>
      </c>
      <c r="S74" s="22" t="str">
        <v>North</v>
      </c>
      <c r="T74" s="22">
        <v>4</v>
      </c>
      <c r="U74" s="22">
        <v>5399</v>
      </c>
      <c r="V74" s="22">
        <v>3800</v>
      </c>
      <c r="W74" s="22" t="str">
        <v>Shipped</v>
      </c>
      <c r="X74" s="22" t="str">
        <v>UPI</v>
      </c>
      <c r="Y74" s="22">
        <v>21596</v>
      </c>
      <c r="Z74" s="22">
        <v>6396</v>
      </c>
      <c r="AA74" s="43">
        <v>0.29616595665864048</v>
      </c>
      <c r="AB74" s="15"/>
    </row>
    <row r="75" spans="1:28" x14ac:dyDescent="0.3">
      <c r="A75" s="37" t="s">
        <v>152</v>
      </c>
      <c r="B75" s="38">
        <v>45745</v>
      </c>
      <c r="C75" s="37" t="s">
        <v>46</v>
      </c>
      <c r="D75" s="37" t="s">
        <v>27</v>
      </c>
      <c r="E75" s="37" t="s">
        <v>32</v>
      </c>
      <c r="F75" s="39">
        <v>8</v>
      </c>
      <c r="G75" s="39">
        <v>299</v>
      </c>
      <c r="H75" s="39">
        <v>120</v>
      </c>
      <c r="I75" s="37" t="s">
        <v>14</v>
      </c>
      <c r="J75" s="37" t="s">
        <v>34</v>
      </c>
      <c r="K75" s="40">
        <f>Table1[[#This Row],[Quantity]]*Table1[[#This Row],[Unit Price]]</f>
        <v>2392</v>
      </c>
      <c r="L75" s="39">
        <f>Table1[[#This Row],[Revenue]]-Table1[[#This Row],[Cost Price]]*Table1[[#This Row],[Quantity]]</f>
        <v>1432</v>
      </c>
      <c r="M75" s="41">
        <f>IFERROR(Table1[[#This Row],[Profit]]/Table1[[#This Row],[Revenue]],"")</f>
        <v>0.59866220735785958</v>
      </c>
      <c r="N75" s="22"/>
      <c r="O75" s="49" t="s">
        <v>152</v>
      </c>
      <c r="P75" s="50" cm="1">
        <f t="array" ref="P75:AA75">_xlfn.XLOOKUP(O75,Table1[Order ID],Table1[[Order Date]:[Profit Margin]],0,0,1)</f>
        <v>45745</v>
      </c>
      <c r="Q75" s="37" t="str">
        <v>Notebook Pack</v>
      </c>
      <c r="R75" s="37" t="str">
        <v>Stationery</v>
      </c>
      <c r="S75" s="37" t="str">
        <v>North</v>
      </c>
      <c r="T75" s="37">
        <v>8</v>
      </c>
      <c r="U75" s="37">
        <v>299</v>
      </c>
      <c r="V75" s="37">
        <v>120</v>
      </c>
      <c r="W75" s="37" t="str">
        <v>Returned</v>
      </c>
      <c r="X75" s="37" t="str">
        <v>UPI</v>
      </c>
      <c r="Y75" s="37">
        <v>2392</v>
      </c>
      <c r="Z75" s="37">
        <v>1432</v>
      </c>
      <c r="AA75" s="51">
        <v>0.59866220735785958</v>
      </c>
      <c r="AB75" s="15"/>
    </row>
    <row r="76" spans="1:28" x14ac:dyDescent="0.3">
      <c r="A76" s="22" t="s">
        <v>199</v>
      </c>
      <c r="B76" s="23">
        <v>45749</v>
      </c>
      <c r="C76" s="22" t="s">
        <v>51</v>
      </c>
      <c r="D76" s="22" t="s">
        <v>31</v>
      </c>
      <c r="E76" s="22" t="s">
        <v>28</v>
      </c>
      <c r="F76" s="24">
        <v>8</v>
      </c>
      <c r="G76" s="24">
        <v>3099</v>
      </c>
      <c r="H76" s="24">
        <v>1800</v>
      </c>
      <c r="I76" s="22" t="s">
        <v>24</v>
      </c>
      <c r="J76" s="22" t="s">
        <v>52</v>
      </c>
      <c r="K76" s="25">
        <f>Table1[[#This Row],[Quantity]]*Table1[[#This Row],[Unit Price]]</f>
        <v>24792</v>
      </c>
      <c r="L76" s="24">
        <f>Table1[[#This Row],[Revenue]]-Table1[[#This Row],[Cost Price]]*Table1[[#This Row],[Quantity]]</f>
        <v>10392</v>
      </c>
      <c r="M76" s="26">
        <f>IFERROR(Table1[[#This Row],[Profit]]/Table1[[#This Row],[Revenue]],"")</f>
        <v>0.41916747337850918</v>
      </c>
      <c r="N76" s="22"/>
      <c r="O76" s="42" t="s">
        <v>199</v>
      </c>
      <c r="P76" s="27" cm="1">
        <f t="array" ref="P76:AA76">_xlfn.XLOOKUP(O76,Table1[Order ID],Table1[[Order Date]:[Profit Margin]],0,0,1)</f>
        <v>45749</v>
      </c>
      <c r="Q76" s="22" t="str">
        <v>Bluetooth Speaker</v>
      </c>
      <c r="R76" s="22" t="str">
        <v>Electronics</v>
      </c>
      <c r="S76" s="22" t="str">
        <v>East</v>
      </c>
      <c r="T76" s="22">
        <v>8</v>
      </c>
      <c r="U76" s="22">
        <v>3099</v>
      </c>
      <c r="V76" s="22">
        <v>1800</v>
      </c>
      <c r="W76" s="22" t="str">
        <v>Cancelled</v>
      </c>
      <c r="X76" s="22" t="str">
        <v>Cash</v>
      </c>
      <c r="Y76" s="22">
        <v>24792</v>
      </c>
      <c r="Z76" s="22">
        <v>10392</v>
      </c>
      <c r="AA76" s="43">
        <v>0.41916747337850918</v>
      </c>
      <c r="AB76" s="15"/>
    </row>
    <row r="77" spans="1:28" x14ac:dyDescent="0.3">
      <c r="A77" s="37" t="s">
        <v>264</v>
      </c>
      <c r="B77" s="38">
        <v>45749</v>
      </c>
      <c r="C77" s="37" t="s">
        <v>91</v>
      </c>
      <c r="D77" s="37" t="s">
        <v>38</v>
      </c>
      <c r="E77" s="37" t="s">
        <v>23</v>
      </c>
      <c r="F77" s="39">
        <v>9</v>
      </c>
      <c r="G77" s="39">
        <v>699</v>
      </c>
      <c r="H77" s="39">
        <v>500</v>
      </c>
      <c r="I77" s="37" t="s">
        <v>41</v>
      </c>
      <c r="J77" s="37" t="s">
        <v>34</v>
      </c>
      <c r="K77" s="40">
        <f>Table1[[#This Row],[Quantity]]*Table1[[#This Row],[Unit Price]]</f>
        <v>6291</v>
      </c>
      <c r="L77" s="39">
        <f>Table1[[#This Row],[Revenue]]-Table1[[#This Row],[Cost Price]]*Table1[[#This Row],[Quantity]]</f>
        <v>1791</v>
      </c>
      <c r="M77" s="41">
        <f>IFERROR(Table1[[#This Row],[Profit]]/Table1[[#This Row],[Revenue]],"")</f>
        <v>0.28469241773962806</v>
      </c>
      <c r="N77" s="22"/>
      <c r="O77" s="49" t="s">
        <v>264</v>
      </c>
      <c r="P77" s="50" cm="1">
        <f t="array" ref="P77:AA77">_xlfn.XLOOKUP(O77,Table1[Order ID],Table1[[Order Date]:[Profit Margin]],0,0,1)</f>
        <v>45749</v>
      </c>
      <c r="Q77" s="37" t="str">
        <v>LED Desk Lamp</v>
      </c>
      <c r="R77" s="37" t="str">
        <v>Home Decor</v>
      </c>
      <c r="S77" s="37" t="str">
        <v>West</v>
      </c>
      <c r="T77" s="37">
        <v>9</v>
      </c>
      <c r="U77" s="37">
        <v>699</v>
      </c>
      <c r="V77" s="37">
        <v>500</v>
      </c>
      <c r="W77" s="37" t="str">
        <v>Processing</v>
      </c>
      <c r="X77" s="37" t="str">
        <v>UPI</v>
      </c>
      <c r="Y77" s="37">
        <v>6291</v>
      </c>
      <c r="Z77" s="37">
        <v>1791</v>
      </c>
      <c r="AA77" s="51">
        <v>0.28469241773962806</v>
      </c>
      <c r="AB77" s="15"/>
    </row>
    <row r="78" spans="1:28" x14ac:dyDescent="0.3">
      <c r="A78" s="22" t="s">
        <v>233</v>
      </c>
      <c r="B78" s="23">
        <v>45752</v>
      </c>
      <c r="C78" s="22" t="s">
        <v>54</v>
      </c>
      <c r="D78" s="22" t="s">
        <v>27</v>
      </c>
      <c r="E78" s="22" t="s">
        <v>32</v>
      </c>
      <c r="F78" s="24">
        <v>5</v>
      </c>
      <c r="G78" s="24">
        <v>499</v>
      </c>
      <c r="H78" s="24">
        <v>180</v>
      </c>
      <c r="I78" s="22" t="s">
        <v>33</v>
      </c>
      <c r="J78" s="22" t="s">
        <v>34</v>
      </c>
      <c r="K78" s="25">
        <f>Table1[[#This Row],[Quantity]]*Table1[[#This Row],[Unit Price]]</f>
        <v>2495</v>
      </c>
      <c r="L78" s="24">
        <f>Table1[[#This Row],[Revenue]]-Table1[[#This Row],[Cost Price]]*Table1[[#This Row],[Quantity]]</f>
        <v>1595</v>
      </c>
      <c r="M78" s="26">
        <f>IFERROR(Table1[[#This Row],[Profit]]/Table1[[#This Row],[Revenue]],"")</f>
        <v>0.63927855711422843</v>
      </c>
      <c r="N78" s="22"/>
      <c r="O78" s="42" t="s">
        <v>233</v>
      </c>
      <c r="P78" s="27" cm="1">
        <f t="array" ref="P78:AA78">_xlfn.XLOOKUP(O78,Table1[Order ID],Table1[[Order Date]:[Profit Margin]],0,0,1)</f>
        <v>45752</v>
      </c>
      <c r="Q78" s="22" t="str">
        <v>Printer Paper</v>
      </c>
      <c r="R78" s="22" t="str">
        <v>Stationery</v>
      </c>
      <c r="S78" s="22" t="str">
        <v>North</v>
      </c>
      <c r="T78" s="22">
        <v>5</v>
      </c>
      <c r="U78" s="22">
        <v>499</v>
      </c>
      <c r="V78" s="22">
        <v>180</v>
      </c>
      <c r="W78" s="22" t="str">
        <v>Shipped</v>
      </c>
      <c r="X78" s="22" t="str">
        <v>UPI</v>
      </c>
      <c r="Y78" s="22">
        <v>2495</v>
      </c>
      <c r="Z78" s="22">
        <v>1595</v>
      </c>
      <c r="AA78" s="43">
        <v>0.63927855711422843</v>
      </c>
      <c r="AB78" s="15"/>
    </row>
    <row r="79" spans="1:28" x14ac:dyDescent="0.3">
      <c r="A79" s="37" t="s">
        <v>243</v>
      </c>
      <c r="B79" s="38">
        <v>45752</v>
      </c>
      <c r="C79" s="37" t="s">
        <v>74</v>
      </c>
      <c r="D79" s="37" t="s">
        <v>31</v>
      </c>
      <c r="E79" s="37" t="s">
        <v>23</v>
      </c>
      <c r="F79" s="39">
        <v>1</v>
      </c>
      <c r="G79" s="39">
        <v>2099</v>
      </c>
      <c r="H79" s="39">
        <v>1200</v>
      </c>
      <c r="I79" s="37" t="s">
        <v>19</v>
      </c>
      <c r="J79" s="37" t="s">
        <v>34</v>
      </c>
      <c r="K79" s="40">
        <f>Table1[[#This Row],[Quantity]]*Table1[[#This Row],[Unit Price]]</f>
        <v>2099</v>
      </c>
      <c r="L79" s="39">
        <f>Table1[[#This Row],[Revenue]]-Table1[[#This Row],[Cost Price]]*Table1[[#This Row],[Quantity]]</f>
        <v>899</v>
      </c>
      <c r="M79" s="41">
        <f>IFERROR(Table1[[#This Row],[Profit]]/Table1[[#This Row],[Revenue]],"")</f>
        <v>0.42829919009051931</v>
      </c>
      <c r="N79" s="22"/>
      <c r="O79" s="49" t="s">
        <v>243</v>
      </c>
      <c r="P79" s="50" cm="1">
        <f t="array" ref="P79:AA79">_xlfn.XLOOKUP(O79,Table1[Order ID],Table1[[Order Date]:[Profit Margin]],0,0,1)</f>
        <v>45752</v>
      </c>
      <c r="Q79" s="37" t="str">
        <v>Boat Headphones</v>
      </c>
      <c r="R79" s="37" t="str">
        <v>Electronics</v>
      </c>
      <c r="S79" s="37" t="str">
        <v>West</v>
      </c>
      <c r="T79" s="37">
        <v>1</v>
      </c>
      <c r="U79" s="37">
        <v>2099</v>
      </c>
      <c r="V79" s="37">
        <v>1200</v>
      </c>
      <c r="W79" s="37" t="str">
        <v>Delivered</v>
      </c>
      <c r="X79" s="37" t="str">
        <v>UPI</v>
      </c>
      <c r="Y79" s="37">
        <v>2099</v>
      </c>
      <c r="Z79" s="37">
        <v>899</v>
      </c>
      <c r="AA79" s="51">
        <v>0.42829919009051931</v>
      </c>
      <c r="AB79" s="15"/>
    </row>
    <row r="80" spans="1:28" x14ac:dyDescent="0.3">
      <c r="A80" s="22" t="s">
        <v>272</v>
      </c>
      <c r="B80" s="23">
        <v>45753</v>
      </c>
      <c r="C80" s="22" t="s">
        <v>46</v>
      </c>
      <c r="D80" s="22" t="s">
        <v>27</v>
      </c>
      <c r="E80" s="22" t="s">
        <v>18</v>
      </c>
      <c r="F80" s="24">
        <v>10</v>
      </c>
      <c r="G80" s="24">
        <v>199</v>
      </c>
      <c r="H80" s="24">
        <v>120</v>
      </c>
      <c r="I80" s="22" t="s">
        <v>19</v>
      </c>
      <c r="J80" s="22" t="s">
        <v>26</v>
      </c>
      <c r="K80" s="25">
        <f>Table1[[#This Row],[Quantity]]*Table1[[#This Row],[Unit Price]]</f>
        <v>1990</v>
      </c>
      <c r="L80" s="24">
        <f>Table1[[#This Row],[Revenue]]-Table1[[#This Row],[Cost Price]]*Table1[[#This Row],[Quantity]]</f>
        <v>790</v>
      </c>
      <c r="M80" s="26">
        <f>IFERROR(Table1[[#This Row],[Profit]]/Table1[[#This Row],[Revenue]],"")</f>
        <v>0.39698492462311558</v>
      </c>
      <c r="N80" s="22"/>
      <c r="O80" s="42" t="s">
        <v>272</v>
      </c>
      <c r="P80" s="27" cm="1">
        <f t="array" ref="P80:AA80">_xlfn.XLOOKUP(O80,Table1[Order ID],Table1[[Order Date]:[Profit Margin]],0,0,1)</f>
        <v>45753</v>
      </c>
      <c r="Q80" s="22" t="str">
        <v>Notebook Pack</v>
      </c>
      <c r="R80" s="22" t="str">
        <v>Stationery</v>
      </c>
      <c r="S80" s="22" t="str">
        <v>Central</v>
      </c>
      <c r="T80" s="22">
        <v>10</v>
      </c>
      <c r="U80" s="22">
        <v>199</v>
      </c>
      <c r="V80" s="22">
        <v>120</v>
      </c>
      <c r="W80" s="22" t="str">
        <v>Delivered</v>
      </c>
      <c r="X80" s="22" t="str">
        <v>Credit Card</v>
      </c>
      <c r="Y80" s="22">
        <v>1990</v>
      </c>
      <c r="Z80" s="22">
        <v>790</v>
      </c>
      <c r="AA80" s="43">
        <v>0.39698492462311558</v>
      </c>
      <c r="AB80" s="15"/>
    </row>
    <row r="81" spans="1:28" x14ac:dyDescent="0.3">
      <c r="A81" s="37" t="s">
        <v>257</v>
      </c>
      <c r="B81" s="38">
        <v>45754</v>
      </c>
      <c r="C81" s="37" t="s">
        <v>54</v>
      </c>
      <c r="D81" s="37" t="s">
        <v>27</v>
      </c>
      <c r="E81" s="37" t="s">
        <v>18</v>
      </c>
      <c r="F81" s="39">
        <v>10</v>
      </c>
      <c r="G81" s="39">
        <v>199</v>
      </c>
      <c r="H81" s="39">
        <v>180</v>
      </c>
      <c r="I81" s="37" t="s">
        <v>19</v>
      </c>
      <c r="J81" s="37" t="s">
        <v>26</v>
      </c>
      <c r="K81" s="40">
        <f>Table1[[#This Row],[Quantity]]*Table1[[#This Row],[Unit Price]]</f>
        <v>1990</v>
      </c>
      <c r="L81" s="39">
        <f>Table1[[#This Row],[Revenue]]-Table1[[#This Row],[Cost Price]]*Table1[[#This Row],[Quantity]]</f>
        <v>190</v>
      </c>
      <c r="M81" s="41">
        <f>IFERROR(Table1[[#This Row],[Profit]]/Table1[[#This Row],[Revenue]],"")</f>
        <v>9.5477386934673364E-2</v>
      </c>
      <c r="N81" s="22"/>
      <c r="O81" s="49" t="s">
        <v>257</v>
      </c>
      <c r="P81" s="50" cm="1">
        <f t="array" ref="P81:AA81">_xlfn.XLOOKUP(O81,Table1[Order ID],Table1[[Order Date]:[Profit Margin]],0,0,1)</f>
        <v>45754</v>
      </c>
      <c r="Q81" s="37" t="str">
        <v>Printer Paper</v>
      </c>
      <c r="R81" s="37" t="str">
        <v>Stationery</v>
      </c>
      <c r="S81" s="37" t="str">
        <v>Central</v>
      </c>
      <c r="T81" s="37">
        <v>10</v>
      </c>
      <c r="U81" s="37">
        <v>199</v>
      </c>
      <c r="V81" s="37">
        <v>180</v>
      </c>
      <c r="W81" s="37" t="str">
        <v>Delivered</v>
      </c>
      <c r="X81" s="37" t="str">
        <v>Credit Card</v>
      </c>
      <c r="Y81" s="37">
        <v>1990</v>
      </c>
      <c r="Z81" s="37">
        <v>190</v>
      </c>
      <c r="AA81" s="51">
        <v>9.5477386934673364E-2</v>
      </c>
      <c r="AB81" s="15"/>
    </row>
    <row r="82" spans="1:28" x14ac:dyDescent="0.3">
      <c r="A82" s="22" t="s">
        <v>104</v>
      </c>
      <c r="B82" s="23">
        <v>45755</v>
      </c>
      <c r="C82" s="22" t="s">
        <v>16</v>
      </c>
      <c r="D82" s="22" t="s">
        <v>17</v>
      </c>
      <c r="E82" s="22" t="s">
        <v>18</v>
      </c>
      <c r="F82" s="24">
        <v>9</v>
      </c>
      <c r="G82" s="24">
        <v>3599</v>
      </c>
      <c r="H82" s="24">
        <v>2500</v>
      </c>
      <c r="I82" s="22" t="s">
        <v>41</v>
      </c>
      <c r="J82" s="22" t="s">
        <v>26</v>
      </c>
      <c r="K82" s="25">
        <f>Table1[[#This Row],[Quantity]]*Table1[[#This Row],[Unit Price]]</f>
        <v>32391</v>
      </c>
      <c r="L82" s="24">
        <f>Table1[[#This Row],[Revenue]]-Table1[[#This Row],[Cost Price]]*Table1[[#This Row],[Quantity]]</f>
        <v>9891</v>
      </c>
      <c r="M82" s="26">
        <f>IFERROR(Table1[[#This Row],[Profit]]/Table1[[#This Row],[Revenue]],"")</f>
        <v>0.30536260072242288</v>
      </c>
      <c r="N82" s="22"/>
      <c r="O82" s="42" t="s">
        <v>104</v>
      </c>
      <c r="P82" s="27" cm="1">
        <f t="array" ref="P82:AA82">_xlfn.XLOOKUP(O82,Table1[Order ID],Table1[[Order Date]:[Profit Margin]],0,0,1)</f>
        <v>45755</v>
      </c>
      <c r="Q82" s="22" t="str">
        <v>Mixer Grinder</v>
      </c>
      <c r="R82" s="22" t="str">
        <v>Appliances</v>
      </c>
      <c r="S82" s="22" t="str">
        <v>Central</v>
      </c>
      <c r="T82" s="22">
        <v>9</v>
      </c>
      <c r="U82" s="22">
        <v>3599</v>
      </c>
      <c r="V82" s="22">
        <v>2500</v>
      </c>
      <c r="W82" s="22" t="str">
        <v>Processing</v>
      </c>
      <c r="X82" s="22" t="str">
        <v>Credit Card</v>
      </c>
      <c r="Y82" s="22">
        <v>32391</v>
      </c>
      <c r="Z82" s="22">
        <v>9891</v>
      </c>
      <c r="AA82" s="43">
        <v>0.30536260072242288</v>
      </c>
      <c r="AB82" s="15"/>
    </row>
    <row r="83" spans="1:28" x14ac:dyDescent="0.3">
      <c r="A83" s="37" t="s">
        <v>98</v>
      </c>
      <c r="B83" s="38">
        <v>45757</v>
      </c>
      <c r="C83" s="37" t="s">
        <v>60</v>
      </c>
      <c r="D83" s="37" t="s">
        <v>31</v>
      </c>
      <c r="E83" s="37" t="s">
        <v>18</v>
      </c>
      <c r="F83" s="39">
        <v>8</v>
      </c>
      <c r="G83" s="39">
        <v>3699</v>
      </c>
      <c r="H83" s="39">
        <v>2400</v>
      </c>
      <c r="I83" s="37" t="s">
        <v>19</v>
      </c>
      <c r="J83" s="37" t="s">
        <v>47</v>
      </c>
      <c r="K83" s="40">
        <f>Table1[[#This Row],[Quantity]]*Table1[[#This Row],[Unit Price]]</f>
        <v>29592</v>
      </c>
      <c r="L83" s="39">
        <f>Table1[[#This Row],[Revenue]]-Table1[[#This Row],[Cost Price]]*Table1[[#This Row],[Quantity]]</f>
        <v>10392</v>
      </c>
      <c r="M83" s="41">
        <f>IFERROR(Table1[[#This Row],[Profit]]/Table1[[#This Row],[Revenue]],"")</f>
        <v>0.35117599351175993</v>
      </c>
      <c r="N83" s="22"/>
      <c r="O83" s="49" t="s">
        <v>98</v>
      </c>
      <c r="P83" s="50" cm="1">
        <f t="array" ref="P83:AA83">_xlfn.XLOOKUP(O83,Table1[Order ID],Table1[[Order Date]:[Profit Margin]],0,0,1)</f>
        <v>45757</v>
      </c>
      <c r="Q83" s="37" t="str">
        <v>Smart Watch</v>
      </c>
      <c r="R83" s="37" t="str">
        <v>Electronics</v>
      </c>
      <c r="S83" s="37" t="str">
        <v>Central</v>
      </c>
      <c r="T83" s="37">
        <v>8</v>
      </c>
      <c r="U83" s="37">
        <v>3699</v>
      </c>
      <c r="V83" s="37">
        <v>2400</v>
      </c>
      <c r="W83" s="37" t="str">
        <v>Delivered</v>
      </c>
      <c r="X83" s="37" t="str">
        <v>Debit Card</v>
      </c>
      <c r="Y83" s="37">
        <v>29592</v>
      </c>
      <c r="Z83" s="37">
        <v>10392</v>
      </c>
      <c r="AA83" s="51">
        <v>0.35117599351175993</v>
      </c>
      <c r="AB83" s="15"/>
    </row>
    <row r="84" spans="1:28" x14ac:dyDescent="0.3">
      <c r="A84" s="22" t="s">
        <v>210</v>
      </c>
      <c r="B84" s="23">
        <v>45757</v>
      </c>
      <c r="C84" s="22" t="s">
        <v>46</v>
      </c>
      <c r="D84" s="22" t="s">
        <v>27</v>
      </c>
      <c r="E84" s="22" t="s">
        <v>32</v>
      </c>
      <c r="F84" s="24">
        <v>6</v>
      </c>
      <c r="G84" s="24">
        <v>299</v>
      </c>
      <c r="H84" s="24">
        <v>120</v>
      </c>
      <c r="I84" s="22" t="s">
        <v>19</v>
      </c>
      <c r="J84" s="22" t="s">
        <v>47</v>
      </c>
      <c r="K84" s="25">
        <f>Table1[[#This Row],[Quantity]]*Table1[[#This Row],[Unit Price]]</f>
        <v>1794</v>
      </c>
      <c r="L84" s="24">
        <f>Table1[[#This Row],[Revenue]]-Table1[[#This Row],[Cost Price]]*Table1[[#This Row],[Quantity]]</f>
        <v>1074</v>
      </c>
      <c r="M84" s="26">
        <f>IFERROR(Table1[[#This Row],[Profit]]/Table1[[#This Row],[Revenue]],"")</f>
        <v>0.59866220735785958</v>
      </c>
      <c r="N84" s="22"/>
      <c r="O84" s="42" t="s">
        <v>210</v>
      </c>
      <c r="P84" s="27" cm="1">
        <f t="array" ref="P84:AA84">_xlfn.XLOOKUP(O84,Table1[Order ID],Table1[[Order Date]:[Profit Margin]],0,0,1)</f>
        <v>45757</v>
      </c>
      <c r="Q84" s="22" t="str">
        <v>Notebook Pack</v>
      </c>
      <c r="R84" s="22" t="str">
        <v>Stationery</v>
      </c>
      <c r="S84" s="22" t="str">
        <v>North</v>
      </c>
      <c r="T84" s="22">
        <v>6</v>
      </c>
      <c r="U84" s="22">
        <v>299</v>
      </c>
      <c r="V84" s="22">
        <v>120</v>
      </c>
      <c r="W84" s="22" t="str">
        <v>Delivered</v>
      </c>
      <c r="X84" s="22" t="str">
        <v>Debit Card</v>
      </c>
      <c r="Y84" s="22">
        <v>1794</v>
      </c>
      <c r="Z84" s="22">
        <v>1074</v>
      </c>
      <c r="AA84" s="43">
        <v>0.59866220735785958</v>
      </c>
      <c r="AB84" s="15"/>
    </row>
    <row r="85" spans="1:28" x14ac:dyDescent="0.3">
      <c r="A85" s="37" t="s">
        <v>81</v>
      </c>
      <c r="B85" s="38">
        <v>45758</v>
      </c>
      <c r="C85" s="37" t="s">
        <v>37</v>
      </c>
      <c r="D85" s="37" t="s">
        <v>38</v>
      </c>
      <c r="E85" s="37" t="s">
        <v>13</v>
      </c>
      <c r="F85" s="39">
        <v>3</v>
      </c>
      <c r="G85" s="39">
        <v>449</v>
      </c>
      <c r="H85" s="39">
        <v>90</v>
      </c>
      <c r="I85" s="37" t="s">
        <v>14</v>
      </c>
      <c r="J85" s="37" t="s">
        <v>26</v>
      </c>
      <c r="K85" s="40">
        <f>Table1[[#This Row],[Quantity]]*Table1[[#This Row],[Unit Price]]</f>
        <v>1347</v>
      </c>
      <c r="L85" s="39">
        <f>Table1[[#This Row],[Revenue]]-Table1[[#This Row],[Cost Price]]*Table1[[#This Row],[Quantity]]</f>
        <v>1077</v>
      </c>
      <c r="M85" s="41">
        <f>IFERROR(Table1[[#This Row],[Profit]]/Table1[[#This Row],[Revenue]],"")</f>
        <v>0.79955456570155903</v>
      </c>
      <c r="N85" s="22"/>
      <c r="O85" s="49" t="s">
        <v>81</v>
      </c>
      <c r="P85" s="50" cm="1">
        <f t="array" ref="P85:AA85">_xlfn.XLOOKUP(O85,Table1[Order ID],Table1[[Order Date]:[Profit Margin]],0,0,1)</f>
        <v>45758</v>
      </c>
      <c r="Q85" s="37" t="str">
        <v>Coffee Mug</v>
      </c>
      <c r="R85" s="37" t="str">
        <v>Home Decor</v>
      </c>
      <c r="S85" s="37" t="str">
        <v>South</v>
      </c>
      <c r="T85" s="37">
        <v>3</v>
      </c>
      <c r="U85" s="37">
        <v>449</v>
      </c>
      <c r="V85" s="37">
        <v>90</v>
      </c>
      <c r="W85" s="37" t="str">
        <v>Returned</v>
      </c>
      <c r="X85" s="37" t="str">
        <v>Credit Card</v>
      </c>
      <c r="Y85" s="37">
        <v>1347</v>
      </c>
      <c r="Z85" s="37">
        <v>1077</v>
      </c>
      <c r="AA85" s="51">
        <v>0.79955456570155903</v>
      </c>
      <c r="AB85" s="15"/>
    </row>
    <row r="86" spans="1:28" x14ac:dyDescent="0.3">
      <c r="A86" s="22" t="s">
        <v>147</v>
      </c>
      <c r="B86" s="23">
        <v>45758</v>
      </c>
      <c r="C86" s="22" t="s">
        <v>65</v>
      </c>
      <c r="D86" s="22" t="s">
        <v>12</v>
      </c>
      <c r="E86" s="22" t="s">
        <v>32</v>
      </c>
      <c r="F86" s="24">
        <v>2</v>
      </c>
      <c r="G86" s="24">
        <v>5399</v>
      </c>
      <c r="H86" s="24">
        <v>3800</v>
      </c>
      <c r="I86" s="22" t="s">
        <v>19</v>
      </c>
      <c r="J86" s="22" t="s">
        <v>55</v>
      </c>
      <c r="K86" s="25">
        <f>Table1[[#This Row],[Quantity]]*Table1[[#This Row],[Unit Price]]</f>
        <v>10798</v>
      </c>
      <c r="L86" s="24">
        <f>Table1[[#This Row],[Revenue]]-Table1[[#This Row],[Cost Price]]*Table1[[#This Row],[Quantity]]</f>
        <v>3198</v>
      </c>
      <c r="M86" s="26">
        <f>IFERROR(Table1[[#This Row],[Profit]]/Table1[[#This Row],[Revenue]],"")</f>
        <v>0.29616595665864048</v>
      </c>
      <c r="N86" s="22"/>
      <c r="O86" s="42" t="s">
        <v>147</v>
      </c>
      <c r="P86" s="27" cm="1">
        <f t="array" ref="P86:AA86">_xlfn.XLOOKUP(O86,Table1[Order ID],Table1[[Order Date]:[Profit Margin]],0,0,1)</f>
        <v>45758</v>
      </c>
      <c r="Q86" s="22" t="str">
        <v>Office Chair</v>
      </c>
      <c r="R86" s="22" t="str">
        <v>Furniture</v>
      </c>
      <c r="S86" s="22" t="str">
        <v>North</v>
      </c>
      <c r="T86" s="22">
        <v>2</v>
      </c>
      <c r="U86" s="22">
        <v>5399</v>
      </c>
      <c r="V86" s="22">
        <v>3800</v>
      </c>
      <c r="W86" s="22" t="str">
        <v>Delivered</v>
      </c>
      <c r="X86" s="22" t="str">
        <v>Net Banking</v>
      </c>
      <c r="Y86" s="22">
        <v>10798</v>
      </c>
      <c r="Z86" s="22">
        <v>3198</v>
      </c>
      <c r="AA86" s="43">
        <v>0.29616595665864048</v>
      </c>
      <c r="AB86" s="15"/>
    </row>
    <row r="87" spans="1:28" x14ac:dyDescent="0.3">
      <c r="A87" s="37" t="s">
        <v>223</v>
      </c>
      <c r="B87" s="38">
        <v>45758</v>
      </c>
      <c r="C87" s="37" t="s">
        <v>46</v>
      </c>
      <c r="D87" s="37" t="s">
        <v>27</v>
      </c>
      <c r="E87" s="37" t="s">
        <v>32</v>
      </c>
      <c r="F87" s="39">
        <v>5</v>
      </c>
      <c r="G87" s="39">
        <v>199</v>
      </c>
      <c r="H87" s="39">
        <v>120</v>
      </c>
      <c r="I87" s="37" t="s">
        <v>41</v>
      </c>
      <c r="J87" s="37" t="s">
        <v>47</v>
      </c>
      <c r="K87" s="40">
        <f>Table1[[#This Row],[Quantity]]*Table1[[#This Row],[Unit Price]]</f>
        <v>995</v>
      </c>
      <c r="L87" s="39">
        <f>Table1[[#This Row],[Revenue]]-Table1[[#This Row],[Cost Price]]*Table1[[#This Row],[Quantity]]</f>
        <v>395</v>
      </c>
      <c r="M87" s="41">
        <f>IFERROR(Table1[[#This Row],[Profit]]/Table1[[#This Row],[Revenue]],"")</f>
        <v>0.39698492462311558</v>
      </c>
      <c r="N87" s="22"/>
      <c r="O87" s="49" t="s">
        <v>223</v>
      </c>
      <c r="P87" s="50" cm="1">
        <f t="array" ref="P87:AA87">_xlfn.XLOOKUP(O87,Table1[Order ID],Table1[[Order Date]:[Profit Margin]],0,0,1)</f>
        <v>45758</v>
      </c>
      <c r="Q87" s="37" t="str">
        <v>Notebook Pack</v>
      </c>
      <c r="R87" s="37" t="str">
        <v>Stationery</v>
      </c>
      <c r="S87" s="37" t="str">
        <v>North</v>
      </c>
      <c r="T87" s="37">
        <v>5</v>
      </c>
      <c r="U87" s="37">
        <v>199</v>
      </c>
      <c r="V87" s="37">
        <v>120</v>
      </c>
      <c r="W87" s="37" t="str">
        <v>Processing</v>
      </c>
      <c r="X87" s="37" t="str">
        <v>Debit Card</v>
      </c>
      <c r="Y87" s="37">
        <v>995</v>
      </c>
      <c r="Z87" s="37">
        <v>395</v>
      </c>
      <c r="AA87" s="51">
        <v>0.39698492462311558</v>
      </c>
      <c r="AB87" s="15"/>
    </row>
    <row r="88" spans="1:28" x14ac:dyDescent="0.3">
      <c r="A88" s="22" t="s">
        <v>117</v>
      </c>
      <c r="B88" s="23">
        <v>45760</v>
      </c>
      <c r="C88" s="22" t="s">
        <v>74</v>
      </c>
      <c r="D88" s="22" t="s">
        <v>31</v>
      </c>
      <c r="E88" s="22" t="s">
        <v>28</v>
      </c>
      <c r="F88" s="24">
        <v>1</v>
      </c>
      <c r="G88" s="24">
        <v>1799</v>
      </c>
      <c r="H88" s="24">
        <v>1200</v>
      </c>
      <c r="I88" s="22" t="s">
        <v>19</v>
      </c>
      <c r="J88" s="22" t="s">
        <v>26</v>
      </c>
      <c r="K88" s="25">
        <f>Table1[[#This Row],[Quantity]]*Table1[[#This Row],[Unit Price]]</f>
        <v>1799</v>
      </c>
      <c r="L88" s="24">
        <f>Table1[[#This Row],[Revenue]]-Table1[[#This Row],[Cost Price]]*Table1[[#This Row],[Quantity]]</f>
        <v>599</v>
      </c>
      <c r="M88" s="26">
        <f>IFERROR(Table1[[#This Row],[Profit]]/Table1[[#This Row],[Revenue]],"")</f>
        <v>0.33296275708727069</v>
      </c>
      <c r="N88" s="22"/>
      <c r="O88" s="42" t="s">
        <v>117</v>
      </c>
      <c r="P88" s="27" cm="1">
        <f t="array" ref="P88:AA88">_xlfn.XLOOKUP(O88,Table1[Order ID],Table1[[Order Date]:[Profit Margin]],0,0,1)</f>
        <v>45760</v>
      </c>
      <c r="Q88" s="22" t="str">
        <v>Boat Headphones</v>
      </c>
      <c r="R88" s="22" t="str">
        <v>Electronics</v>
      </c>
      <c r="S88" s="22" t="str">
        <v>East</v>
      </c>
      <c r="T88" s="22">
        <v>1</v>
      </c>
      <c r="U88" s="22">
        <v>1799</v>
      </c>
      <c r="V88" s="22">
        <v>1200</v>
      </c>
      <c r="W88" s="22" t="str">
        <v>Delivered</v>
      </c>
      <c r="X88" s="22" t="str">
        <v>Credit Card</v>
      </c>
      <c r="Y88" s="22">
        <v>1799</v>
      </c>
      <c r="Z88" s="22">
        <v>599</v>
      </c>
      <c r="AA88" s="43">
        <v>0.33296275708727069</v>
      </c>
      <c r="AB88" s="15"/>
    </row>
    <row r="89" spans="1:28" x14ac:dyDescent="0.3">
      <c r="A89" s="37" t="s">
        <v>78</v>
      </c>
      <c r="B89" s="38">
        <v>45761</v>
      </c>
      <c r="C89" s="37" t="s">
        <v>21</v>
      </c>
      <c r="D89" s="37" t="s">
        <v>22</v>
      </c>
      <c r="E89" s="37" t="s">
        <v>32</v>
      </c>
      <c r="F89" s="39">
        <v>5</v>
      </c>
      <c r="G89" s="39">
        <v>999</v>
      </c>
      <c r="H89" s="39">
        <v>350</v>
      </c>
      <c r="I89" s="37" t="s">
        <v>19</v>
      </c>
      <c r="J89" s="37" t="s">
        <v>26</v>
      </c>
      <c r="K89" s="40">
        <f>Table1[[#This Row],[Quantity]]*Table1[[#This Row],[Unit Price]]</f>
        <v>4995</v>
      </c>
      <c r="L89" s="39">
        <f>Table1[[#This Row],[Revenue]]-Table1[[#This Row],[Cost Price]]*Table1[[#This Row],[Quantity]]</f>
        <v>3245</v>
      </c>
      <c r="M89" s="41">
        <f>IFERROR(Table1[[#This Row],[Profit]]/Table1[[#This Row],[Revenue]],"")</f>
        <v>0.64964964964964966</v>
      </c>
      <c r="N89" s="22"/>
      <c r="O89" s="49" t="s">
        <v>78</v>
      </c>
      <c r="P89" s="50" cm="1">
        <f t="array" ref="P89:AA89">_xlfn.XLOOKUP(O89,Table1[Order ID],Table1[[Order Date]:[Profit Margin]],0,0,1)</f>
        <v>45761</v>
      </c>
      <c r="Q89" s="37" t="str">
        <v>Cotton T-Shirt</v>
      </c>
      <c r="R89" s="37" t="str">
        <v>Fashion</v>
      </c>
      <c r="S89" s="37" t="str">
        <v>North</v>
      </c>
      <c r="T89" s="37">
        <v>5</v>
      </c>
      <c r="U89" s="37">
        <v>999</v>
      </c>
      <c r="V89" s="37">
        <v>350</v>
      </c>
      <c r="W89" s="37" t="str">
        <v>Delivered</v>
      </c>
      <c r="X89" s="37" t="str">
        <v>Credit Card</v>
      </c>
      <c r="Y89" s="37">
        <v>4995</v>
      </c>
      <c r="Z89" s="37">
        <v>3245</v>
      </c>
      <c r="AA89" s="51">
        <v>0.64964964964964966</v>
      </c>
      <c r="AB89" s="15"/>
    </row>
    <row r="90" spans="1:28" x14ac:dyDescent="0.3">
      <c r="A90" s="22" t="s">
        <v>211</v>
      </c>
      <c r="B90" s="23">
        <v>45761</v>
      </c>
      <c r="C90" s="22" t="s">
        <v>49</v>
      </c>
      <c r="D90" s="22" t="s">
        <v>22</v>
      </c>
      <c r="E90" s="22" t="s">
        <v>18</v>
      </c>
      <c r="F90" s="24">
        <v>4</v>
      </c>
      <c r="G90" s="24">
        <v>2399</v>
      </c>
      <c r="H90" s="24">
        <v>1400</v>
      </c>
      <c r="I90" s="22" t="s">
        <v>24</v>
      </c>
      <c r="J90" s="22" t="s">
        <v>26</v>
      </c>
      <c r="K90" s="25">
        <f>Table1[[#This Row],[Quantity]]*Table1[[#This Row],[Unit Price]]</f>
        <v>9596</v>
      </c>
      <c r="L90" s="24">
        <f>Table1[[#This Row],[Revenue]]-Table1[[#This Row],[Cost Price]]*Table1[[#This Row],[Quantity]]</f>
        <v>3996</v>
      </c>
      <c r="M90" s="26">
        <f>IFERROR(Table1[[#This Row],[Profit]]/Table1[[#This Row],[Revenue]],"")</f>
        <v>0.41642350979574821</v>
      </c>
      <c r="N90" s="22"/>
      <c r="O90" s="42" t="s">
        <v>211</v>
      </c>
      <c r="P90" s="27" cm="1">
        <f t="array" ref="P90:AA90">_xlfn.XLOOKUP(O90,Table1[Order ID],Table1[[Order Date]:[Profit Margin]],0,0,1)</f>
        <v>45761</v>
      </c>
      <c r="Q90" s="22" t="str">
        <v>Running Shoes</v>
      </c>
      <c r="R90" s="22" t="str">
        <v>Fashion</v>
      </c>
      <c r="S90" s="22" t="str">
        <v>Central</v>
      </c>
      <c r="T90" s="22">
        <v>4</v>
      </c>
      <c r="U90" s="22">
        <v>2399</v>
      </c>
      <c r="V90" s="22">
        <v>1400</v>
      </c>
      <c r="W90" s="22" t="str">
        <v>Cancelled</v>
      </c>
      <c r="X90" s="22" t="str">
        <v>Credit Card</v>
      </c>
      <c r="Y90" s="22">
        <v>9596</v>
      </c>
      <c r="Z90" s="22">
        <v>3996</v>
      </c>
      <c r="AA90" s="43">
        <v>0.41642350979574821</v>
      </c>
      <c r="AB90" s="15"/>
    </row>
    <row r="91" spans="1:28" x14ac:dyDescent="0.3">
      <c r="A91" s="37" t="s">
        <v>132</v>
      </c>
      <c r="B91" s="38">
        <v>45762</v>
      </c>
      <c r="C91" s="37" t="s">
        <v>91</v>
      </c>
      <c r="D91" s="37" t="s">
        <v>38</v>
      </c>
      <c r="E91" s="37" t="s">
        <v>13</v>
      </c>
      <c r="F91" s="39">
        <v>5</v>
      </c>
      <c r="G91" s="39">
        <v>899</v>
      </c>
      <c r="H91" s="39">
        <v>500</v>
      </c>
      <c r="I91" s="37" t="s">
        <v>19</v>
      </c>
      <c r="J91" s="37" t="s">
        <v>34</v>
      </c>
      <c r="K91" s="40">
        <f>Table1[[#This Row],[Quantity]]*Table1[[#This Row],[Unit Price]]</f>
        <v>4495</v>
      </c>
      <c r="L91" s="39">
        <f>Table1[[#This Row],[Revenue]]-Table1[[#This Row],[Cost Price]]*Table1[[#This Row],[Quantity]]</f>
        <v>1995</v>
      </c>
      <c r="M91" s="41">
        <f>IFERROR(Table1[[#This Row],[Profit]]/Table1[[#This Row],[Revenue]],"")</f>
        <v>0.44382647385984425</v>
      </c>
      <c r="N91" s="22"/>
      <c r="O91" s="49" t="s">
        <v>132</v>
      </c>
      <c r="P91" s="50" cm="1">
        <f t="array" ref="P91:AA91">_xlfn.XLOOKUP(O91,Table1[Order ID],Table1[[Order Date]:[Profit Margin]],0,0,1)</f>
        <v>45762</v>
      </c>
      <c r="Q91" s="37" t="str">
        <v>LED Desk Lamp</v>
      </c>
      <c r="R91" s="37" t="str">
        <v>Home Decor</v>
      </c>
      <c r="S91" s="37" t="str">
        <v>South</v>
      </c>
      <c r="T91" s="37">
        <v>5</v>
      </c>
      <c r="U91" s="37">
        <v>899</v>
      </c>
      <c r="V91" s="37">
        <v>500</v>
      </c>
      <c r="W91" s="37" t="str">
        <v>Delivered</v>
      </c>
      <c r="X91" s="37" t="str">
        <v>UPI</v>
      </c>
      <c r="Y91" s="37">
        <v>4495</v>
      </c>
      <c r="Z91" s="37">
        <v>1995</v>
      </c>
      <c r="AA91" s="51">
        <v>0.44382647385984425</v>
      </c>
      <c r="AB91" s="15"/>
    </row>
    <row r="92" spans="1:28" x14ac:dyDescent="0.3">
      <c r="A92" s="22" t="s">
        <v>283</v>
      </c>
      <c r="B92" s="23">
        <v>45763</v>
      </c>
      <c r="C92" s="22" t="s">
        <v>57</v>
      </c>
      <c r="D92" s="22" t="s">
        <v>17</v>
      </c>
      <c r="E92" s="22" t="s">
        <v>32</v>
      </c>
      <c r="F92" s="24">
        <v>4</v>
      </c>
      <c r="G92" s="24">
        <v>8999</v>
      </c>
      <c r="H92" s="24">
        <v>7000</v>
      </c>
      <c r="I92" s="22" t="s">
        <v>19</v>
      </c>
      <c r="J92" s="22" t="s">
        <v>34</v>
      </c>
      <c r="K92" s="25">
        <f>Table1[[#This Row],[Quantity]]*Table1[[#This Row],[Unit Price]]</f>
        <v>35996</v>
      </c>
      <c r="L92" s="24">
        <f>Table1[[#This Row],[Revenue]]-Table1[[#This Row],[Cost Price]]*Table1[[#This Row],[Quantity]]</f>
        <v>7996</v>
      </c>
      <c r="M92" s="26">
        <f>IFERROR(Table1[[#This Row],[Profit]]/Table1[[#This Row],[Revenue]],"")</f>
        <v>0.22213579286587398</v>
      </c>
      <c r="N92" s="22"/>
      <c r="O92" s="42" t="s">
        <v>283</v>
      </c>
      <c r="P92" s="27" cm="1">
        <f t="array" ref="P92:AA92">_xlfn.XLOOKUP(O92,Table1[Order ID],Table1[[Order Date]:[Profit Margin]],0,0,1)</f>
        <v>45763</v>
      </c>
      <c r="Q92" s="22" t="str">
        <v>Water Purifier</v>
      </c>
      <c r="R92" s="22" t="str">
        <v>Appliances</v>
      </c>
      <c r="S92" s="22" t="str">
        <v>North</v>
      </c>
      <c r="T92" s="22">
        <v>4</v>
      </c>
      <c r="U92" s="22">
        <v>8999</v>
      </c>
      <c r="V92" s="22">
        <v>7000</v>
      </c>
      <c r="W92" s="22" t="str">
        <v>Delivered</v>
      </c>
      <c r="X92" s="22" t="str">
        <v>UPI</v>
      </c>
      <c r="Y92" s="22">
        <v>35996</v>
      </c>
      <c r="Z92" s="22">
        <v>7996</v>
      </c>
      <c r="AA92" s="43">
        <v>0.22213579286587398</v>
      </c>
      <c r="AB92" s="15"/>
    </row>
    <row r="93" spans="1:28" x14ac:dyDescent="0.3">
      <c r="A93" s="37" t="s">
        <v>300</v>
      </c>
      <c r="B93" s="38">
        <v>45765</v>
      </c>
      <c r="C93" s="37" t="s">
        <v>37</v>
      </c>
      <c r="D93" s="37" t="s">
        <v>38</v>
      </c>
      <c r="E93" s="37" t="s">
        <v>28</v>
      </c>
      <c r="F93" s="39">
        <v>10</v>
      </c>
      <c r="G93" s="39">
        <v>349</v>
      </c>
      <c r="H93" s="39">
        <v>90</v>
      </c>
      <c r="I93" s="37" t="s">
        <v>19</v>
      </c>
      <c r="J93" s="37" t="s">
        <v>26</v>
      </c>
      <c r="K93" s="40">
        <f>Table1[[#This Row],[Quantity]]*Table1[[#This Row],[Unit Price]]</f>
        <v>3490</v>
      </c>
      <c r="L93" s="39">
        <f>Table1[[#This Row],[Revenue]]-Table1[[#This Row],[Cost Price]]*Table1[[#This Row],[Quantity]]</f>
        <v>2590</v>
      </c>
      <c r="M93" s="41">
        <f>IFERROR(Table1[[#This Row],[Profit]]/Table1[[#This Row],[Revenue]],"")</f>
        <v>0.74212034383954151</v>
      </c>
      <c r="N93" s="22"/>
      <c r="O93" s="49" t="s">
        <v>300</v>
      </c>
      <c r="P93" s="50" cm="1">
        <f t="array" ref="P93:AA93">_xlfn.XLOOKUP(O93,Table1[Order ID],Table1[[Order Date]:[Profit Margin]],0,0,1)</f>
        <v>45765</v>
      </c>
      <c r="Q93" s="37" t="str">
        <v>Coffee Mug</v>
      </c>
      <c r="R93" s="37" t="str">
        <v>Home Decor</v>
      </c>
      <c r="S93" s="37" t="str">
        <v>East</v>
      </c>
      <c r="T93" s="37">
        <v>10</v>
      </c>
      <c r="U93" s="37">
        <v>349</v>
      </c>
      <c r="V93" s="37">
        <v>90</v>
      </c>
      <c r="W93" s="37" t="str">
        <v>Delivered</v>
      </c>
      <c r="X93" s="37" t="str">
        <v>Credit Card</v>
      </c>
      <c r="Y93" s="37">
        <v>3490</v>
      </c>
      <c r="Z93" s="37">
        <v>2590</v>
      </c>
      <c r="AA93" s="51">
        <v>0.74212034383954151</v>
      </c>
      <c r="AB93" s="15"/>
    </row>
    <row r="94" spans="1:28" x14ac:dyDescent="0.3">
      <c r="A94" s="22" t="s">
        <v>183</v>
      </c>
      <c r="B94" s="23">
        <v>45766</v>
      </c>
      <c r="C94" s="22" t="s">
        <v>44</v>
      </c>
      <c r="D94" s="22" t="s">
        <v>31</v>
      </c>
      <c r="E94" s="22" t="s">
        <v>32</v>
      </c>
      <c r="F94" s="24">
        <v>4</v>
      </c>
      <c r="G94" s="24">
        <v>12799</v>
      </c>
      <c r="H94" s="24">
        <v>10800</v>
      </c>
      <c r="I94" s="22" t="s">
        <v>19</v>
      </c>
      <c r="J94" s="22" t="s">
        <v>34</v>
      </c>
      <c r="K94" s="25">
        <f>Table1[[#This Row],[Quantity]]*Table1[[#This Row],[Unit Price]]</f>
        <v>51196</v>
      </c>
      <c r="L94" s="24">
        <f>Table1[[#This Row],[Revenue]]-Table1[[#This Row],[Cost Price]]*Table1[[#This Row],[Quantity]]</f>
        <v>7996</v>
      </c>
      <c r="M94" s="26">
        <f>IFERROR(Table1[[#This Row],[Profit]]/Table1[[#This Row],[Revenue]],"")</f>
        <v>0.15618407688100633</v>
      </c>
      <c r="N94" s="22"/>
      <c r="O94" s="42" t="s">
        <v>183</v>
      </c>
      <c r="P94" s="27" cm="1">
        <f t="array" ref="P94:AA94">_xlfn.XLOOKUP(O94,Table1[Order ID],Table1[[Order Date]:[Profit Margin]],0,0,1)</f>
        <v>45766</v>
      </c>
      <c r="Q94" s="22" t="str">
        <v>Samsung Galaxy M14</v>
      </c>
      <c r="R94" s="22" t="str">
        <v>Electronics</v>
      </c>
      <c r="S94" s="22" t="str">
        <v>North</v>
      </c>
      <c r="T94" s="22">
        <v>4</v>
      </c>
      <c r="U94" s="22">
        <v>12799</v>
      </c>
      <c r="V94" s="22">
        <v>10800</v>
      </c>
      <c r="W94" s="22" t="str">
        <v>Delivered</v>
      </c>
      <c r="X94" s="22" t="str">
        <v>UPI</v>
      </c>
      <c r="Y94" s="22">
        <v>51196</v>
      </c>
      <c r="Z94" s="22">
        <v>7996</v>
      </c>
      <c r="AA94" s="43">
        <v>0.15618407688100633</v>
      </c>
      <c r="AB94" s="15"/>
    </row>
    <row r="95" spans="1:28" x14ac:dyDescent="0.3">
      <c r="A95" s="37" t="s">
        <v>148</v>
      </c>
      <c r="B95" s="38">
        <v>45770</v>
      </c>
      <c r="C95" s="37" t="s">
        <v>65</v>
      </c>
      <c r="D95" s="37" t="s">
        <v>12</v>
      </c>
      <c r="E95" s="37" t="s">
        <v>13</v>
      </c>
      <c r="F95" s="39">
        <v>5</v>
      </c>
      <c r="G95" s="39">
        <v>5499</v>
      </c>
      <c r="H95" s="39">
        <v>3800</v>
      </c>
      <c r="I95" s="37" t="s">
        <v>24</v>
      </c>
      <c r="J95" s="37" t="s">
        <v>47</v>
      </c>
      <c r="K95" s="40">
        <f>Table1[[#This Row],[Quantity]]*Table1[[#This Row],[Unit Price]]</f>
        <v>27495</v>
      </c>
      <c r="L95" s="39">
        <f>Table1[[#This Row],[Revenue]]-Table1[[#This Row],[Cost Price]]*Table1[[#This Row],[Quantity]]</f>
        <v>8495</v>
      </c>
      <c r="M95" s="41">
        <f>IFERROR(Table1[[#This Row],[Profit]]/Table1[[#This Row],[Revenue]],"")</f>
        <v>0.30896526641207495</v>
      </c>
      <c r="N95" s="22"/>
      <c r="O95" s="49" t="s">
        <v>148</v>
      </c>
      <c r="P95" s="50" cm="1">
        <f t="array" ref="P95:AA95">_xlfn.XLOOKUP(O95,Table1[Order ID],Table1[[Order Date]:[Profit Margin]],0,0,1)</f>
        <v>45770</v>
      </c>
      <c r="Q95" s="37" t="str">
        <v>Office Chair</v>
      </c>
      <c r="R95" s="37" t="str">
        <v>Furniture</v>
      </c>
      <c r="S95" s="37" t="str">
        <v>South</v>
      </c>
      <c r="T95" s="37">
        <v>5</v>
      </c>
      <c r="U95" s="37">
        <v>5499</v>
      </c>
      <c r="V95" s="37">
        <v>3800</v>
      </c>
      <c r="W95" s="37" t="str">
        <v>Cancelled</v>
      </c>
      <c r="X95" s="37" t="str">
        <v>Debit Card</v>
      </c>
      <c r="Y95" s="37">
        <v>27495</v>
      </c>
      <c r="Z95" s="37">
        <v>8495</v>
      </c>
      <c r="AA95" s="51">
        <v>0.30896526641207495</v>
      </c>
      <c r="AB95" s="15"/>
    </row>
    <row r="96" spans="1:28" x14ac:dyDescent="0.3">
      <c r="A96" s="22" t="s">
        <v>175</v>
      </c>
      <c r="B96" s="23">
        <v>45770</v>
      </c>
      <c r="C96" s="22" t="s">
        <v>60</v>
      </c>
      <c r="D96" s="22" t="s">
        <v>31</v>
      </c>
      <c r="E96" s="22" t="s">
        <v>23</v>
      </c>
      <c r="F96" s="24">
        <v>8</v>
      </c>
      <c r="G96" s="24">
        <v>3599</v>
      </c>
      <c r="H96" s="24">
        <v>2400</v>
      </c>
      <c r="I96" s="22" t="s">
        <v>19</v>
      </c>
      <c r="J96" s="22" t="s">
        <v>52</v>
      </c>
      <c r="K96" s="25">
        <f>Table1[[#This Row],[Quantity]]*Table1[[#This Row],[Unit Price]]</f>
        <v>28792</v>
      </c>
      <c r="L96" s="24">
        <f>Table1[[#This Row],[Revenue]]-Table1[[#This Row],[Cost Price]]*Table1[[#This Row],[Quantity]]</f>
        <v>9592</v>
      </c>
      <c r="M96" s="26">
        <f>IFERROR(Table1[[#This Row],[Profit]]/Table1[[#This Row],[Revenue]],"")</f>
        <v>0.33314809669352596</v>
      </c>
      <c r="N96" s="22"/>
      <c r="O96" s="42" t="s">
        <v>175</v>
      </c>
      <c r="P96" s="27" cm="1">
        <f t="array" ref="P96:AA96">_xlfn.XLOOKUP(O96,Table1[Order ID],Table1[[Order Date]:[Profit Margin]],0,0,1)</f>
        <v>45770</v>
      </c>
      <c r="Q96" s="22" t="str">
        <v>Smart Watch</v>
      </c>
      <c r="R96" s="22" t="str">
        <v>Electronics</v>
      </c>
      <c r="S96" s="22" t="str">
        <v>West</v>
      </c>
      <c r="T96" s="22">
        <v>8</v>
      </c>
      <c r="U96" s="22">
        <v>3599</v>
      </c>
      <c r="V96" s="22">
        <v>2400</v>
      </c>
      <c r="W96" s="22" t="str">
        <v>Delivered</v>
      </c>
      <c r="X96" s="22" t="str">
        <v>Cash</v>
      </c>
      <c r="Y96" s="22">
        <v>28792</v>
      </c>
      <c r="Z96" s="22">
        <v>9592</v>
      </c>
      <c r="AA96" s="43">
        <v>0.33314809669352596</v>
      </c>
      <c r="AB96" s="15"/>
    </row>
    <row r="97" spans="1:28" x14ac:dyDescent="0.3">
      <c r="A97" s="37" t="s">
        <v>72</v>
      </c>
      <c r="B97" s="38">
        <v>45771</v>
      </c>
      <c r="C97" s="37" t="s">
        <v>16</v>
      </c>
      <c r="D97" s="37" t="s">
        <v>17</v>
      </c>
      <c r="E97" s="37" t="s">
        <v>28</v>
      </c>
      <c r="F97" s="39">
        <v>9</v>
      </c>
      <c r="G97" s="39">
        <v>3699</v>
      </c>
      <c r="H97" s="39">
        <v>2500</v>
      </c>
      <c r="I97" s="37" t="s">
        <v>14</v>
      </c>
      <c r="J97" s="37" t="s">
        <v>34</v>
      </c>
      <c r="K97" s="40">
        <f>Table1[[#This Row],[Quantity]]*Table1[[#This Row],[Unit Price]]</f>
        <v>33291</v>
      </c>
      <c r="L97" s="39">
        <f>Table1[[#This Row],[Revenue]]-Table1[[#This Row],[Cost Price]]*Table1[[#This Row],[Quantity]]</f>
        <v>10791</v>
      </c>
      <c r="M97" s="41">
        <f>IFERROR(Table1[[#This Row],[Profit]]/Table1[[#This Row],[Revenue]],"")</f>
        <v>0.32414165990808325</v>
      </c>
      <c r="N97" s="22"/>
      <c r="O97" s="49" t="s">
        <v>72</v>
      </c>
      <c r="P97" s="50" cm="1">
        <f t="array" ref="P97:AA97">_xlfn.XLOOKUP(O97,Table1[Order ID],Table1[[Order Date]:[Profit Margin]],0,0,1)</f>
        <v>45771</v>
      </c>
      <c r="Q97" s="37" t="str">
        <v>Mixer Grinder</v>
      </c>
      <c r="R97" s="37" t="str">
        <v>Appliances</v>
      </c>
      <c r="S97" s="37" t="str">
        <v>East</v>
      </c>
      <c r="T97" s="37">
        <v>9</v>
      </c>
      <c r="U97" s="37">
        <v>3699</v>
      </c>
      <c r="V97" s="37">
        <v>2500</v>
      </c>
      <c r="W97" s="37" t="str">
        <v>Returned</v>
      </c>
      <c r="X97" s="37" t="str">
        <v>UPI</v>
      </c>
      <c r="Y97" s="37">
        <v>33291</v>
      </c>
      <c r="Z97" s="37">
        <v>10791</v>
      </c>
      <c r="AA97" s="51">
        <v>0.32414165990808325</v>
      </c>
      <c r="AB97" s="15"/>
    </row>
    <row r="98" spans="1:28" x14ac:dyDescent="0.3">
      <c r="A98" s="22" t="s">
        <v>303</v>
      </c>
      <c r="B98" s="23">
        <v>45771</v>
      </c>
      <c r="C98" s="22" t="s">
        <v>65</v>
      </c>
      <c r="D98" s="22" t="s">
        <v>12</v>
      </c>
      <c r="E98" s="22" t="s">
        <v>32</v>
      </c>
      <c r="F98" s="24">
        <v>2</v>
      </c>
      <c r="G98" s="24">
        <v>5299</v>
      </c>
      <c r="H98" s="24">
        <v>3800</v>
      </c>
      <c r="I98" s="22" t="s">
        <v>19</v>
      </c>
      <c r="J98" s="22" t="s">
        <v>52</v>
      </c>
      <c r="K98" s="25">
        <f>Table1[[#This Row],[Quantity]]*Table1[[#This Row],[Unit Price]]</f>
        <v>10598</v>
      </c>
      <c r="L98" s="24">
        <f>Table1[[#This Row],[Revenue]]-Table1[[#This Row],[Cost Price]]*Table1[[#This Row],[Quantity]]</f>
        <v>2998</v>
      </c>
      <c r="M98" s="26">
        <f>IFERROR(Table1[[#This Row],[Profit]]/Table1[[#This Row],[Revenue]],"")</f>
        <v>0.2828835629364031</v>
      </c>
      <c r="N98" s="22"/>
      <c r="O98" s="42" t="s">
        <v>303</v>
      </c>
      <c r="P98" s="27" cm="1">
        <f t="array" ref="P98:AA98">_xlfn.XLOOKUP(O98,Table1[Order ID],Table1[[Order Date]:[Profit Margin]],0,0,1)</f>
        <v>45771</v>
      </c>
      <c r="Q98" s="22" t="str">
        <v>Office Chair</v>
      </c>
      <c r="R98" s="22" t="str">
        <v>Furniture</v>
      </c>
      <c r="S98" s="22" t="str">
        <v>North</v>
      </c>
      <c r="T98" s="22">
        <v>2</v>
      </c>
      <c r="U98" s="22">
        <v>5299</v>
      </c>
      <c r="V98" s="22">
        <v>3800</v>
      </c>
      <c r="W98" s="22" t="str">
        <v>Delivered</v>
      </c>
      <c r="X98" s="22" t="str">
        <v>Cash</v>
      </c>
      <c r="Y98" s="22">
        <v>10598</v>
      </c>
      <c r="Z98" s="22">
        <v>2998</v>
      </c>
      <c r="AA98" s="43">
        <v>0.2828835629364031</v>
      </c>
      <c r="AB98" s="15"/>
    </row>
    <row r="99" spans="1:28" x14ac:dyDescent="0.3">
      <c r="A99" s="37" t="s">
        <v>241</v>
      </c>
      <c r="B99" s="38">
        <v>45772</v>
      </c>
      <c r="C99" s="37" t="s">
        <v>65</v>
      </c>
      <c r="D99" s="37" t="s">
        <v>12</v>
      </c>
      <c r="E99" s="37" t="s">
        <v>18</v>
      </c>
      <c r="F99" s="39">
        <v>10</v>
      </c>
      <c r="G99" s="39">
        <v>5399</v>
      </c>
      <c r="H99" s="39">
        <v>3800</v>
      </c>
      <c r="I99" s="37" t="s">
        <v>19</v>
      </c>
      <c r="J99" s="37" t="s">
        <v>52</v>
      </c>
      <c r="K99" s="40">
        <f>Table1[[#This Row],[Quantity]]*Table1[[#This Row],[Unit Price]]</f>
        <v>53990</v>
      </c>
      <c r="L99" s="39">
        <f>Table1[[#This Row],[Revenue]]-Table1[[#This Row],[Cost Price]]*Table1[[#This Row],[Quantity]]</f>
        <v>15990</v>
      </c>
      <c r="M99" s="41">
        <f>IFERROR(Table1[[#This Row],[Profit]]/Table1[[#This Row],[Revenue]],"")</f>
        <v>0.29616595665864048</v>
      </c>
      <c r="N99" s="22"/>
      <c r="O99" s="49" t="s">
        <v>241</v>
      </c>
      <c r="P99" s="50" cm="1">
        <f t="array" ref="P99:AA99">_xlfn.XLOOKUP(O99,Table1[Order ID],Table1[[Order Date]:[Profit Margin]],0,0,1)</f>
        <v>45772</v>
      </c>
      <c r="Q99" s="37" t="str">
        <v>Office Chair</v>
      </c>
      <c r="R99" s="37" t="str">
        <v>Furniture</v>
      </c>
      <c r="S99" s="37" t="str">
        <v>Central</v>
      </c>
      <c r="T99" s="37">
        <v>10</v>
      </c>
      <c r="U99" s="37">
        <v>5399</v>
      </c>
      <c r="V99" s="37">
        <v>3800</v>
      </c>
      <c r="W99" s="37" t="str">
        <v>Delivered</v>
      </c>
      <c r="X99" s="37" t="str">
        <v>Cash</v>
      </c>
      <c r="Y99" s="37">
        <v>53990</v>
      </c>
      <c r="Z99" s="37">
        <v>15990</v>
      </c>
      <c r="AA99" s="51">
        <v>0.29616595665864048</v>
      </c>
      <c r="AB99" s="15"/>
    </row>
    <row r="100" spans="1:28" x14ac:dyDescent="0.3">
      <c r="A100" s="22" t="s">
        <v>260</v>
      </c>
      <c r="B100" s="23">
        <v>45772</v>
      </c>
      <c r="C100" s="22" t="s">
        <v>57</v>
      </c>
      <c r="D100" s="22" t="s">
        <v>17</v>
      </c>
      <c r="E100" s="22" t="s">
        <v>28</v>
      </c>
      <c r="F100" s="24">
        <v>5</v>
      </c>
      <c r="G100" s="24">
        <v>9099</v>
      </c>
      <c r="H100" s="24">
        <v>7000</v>
      </c>
      <c r="I100" s="22" t="s">
        <v>19</v>
      </c>
      <c r="J100" s="22" t="s">
        <v>26</v>
      </c>
      <c r="K100" s="25">
        <f>Table1[[#This Row],[Quantity]]*Table1[[#This Row],[Unit Price]]</f>
        <v>45495</v>
      </c>
      <c r="L100" s="24">
        <f>Table1[[#This Row],[Revenue]]-Table1[[#This Row],[Cost Price]]*Table1[[#This Row],[Quantity]]</f>
        <v>10495</v>
      </c>
      <c r="M100" s="26">
        <f>IFERROR(Table1[[#This Row],[Profit]]/Table1[[#This Row],[Revenue]],"")</f>
        <v>0.23068469062534344</v>
      </c>
      <c r="N100" s="22"/>
      <c r="O100" s="42" t="s">
        <v>260</v>
      </c>
      <c r="P100" s="27" cm="1">
        <f t="array" ref="P100:AA100">_xlfn.XLOOKUP(O100,Table1[Order ID],Table1[[Order Date]:[Profit Margin]],0,0,1)</f>
        <v>45772</v>
      </c>
      <c r="Q100" s="22" t="str">
        <v>Water Purifier</v>
      </c>
      <c r="R100" s="22" t="str">
        <v>Appliances</v>
      </c>
      <c r="S100" s="22" t="str">
        <v>East</v>
      </c>
      <c r="T100" s="22">
        <v>5</v>
      </c>
      <c r="U100" s="22">
        <v>9099</v>
      </c>
      <c r="V100" s="22">
        <v>7000</v>
      </c>
      <c r="W100" s="22" t="str">
        <v>Delivered</v>
      </c>
      <c r="X100" s="22" t="str">
        <v>Credit Card</v>
      </c>
      <c r="Y100" s="22">
        <v>45495</v>
      </c>
      <c r="Z100" s="22">
        <v>10495</v>
      </c>
      <c r="AA100" s="43">
        <v>0.23068469062534344</v>
      </c>
      <c r="AB100" s="15"/>
    </row>
    <row r="101" spans="1:28" x14ac:dyDescent="0.3">
      <c r="A101" s="37" t="s">
        <v>153</v>
      </c>
      <c r="B101" s="38">
        <v>45776</v>
      </c>
      <c r="C101" s="37" t="s">
        <v>44</v>
      </c>
      <c r="D101" s="37" t="s">
        <v>31</v>
      </c>
      <c r="E101" s="37" t="s">
        <v>32</v>
      </c>
      <c r="F101" s="39">
        <v>7</v>
      </c>
      <c r="G101" s="39">
        <v>12799</v>
      </c>
      <c r="H101" s="39">
        <v>10800</v>
      </c>
      <c r="I101" s="37" t="s">
        <v>14</v>
      </c>
      <c r="J101" s="37" t="s">
        <v>47</v>
      </c>
      <c r="K101" s="40">
        <f>Table1[[#This Row],[Quantity]]*Table1[[#This Row],[Unit Price]]</f>
        <v>89593</v>
      </c>
      <c r="L101" s="39">
        <f>Table1[[#This Row],[Revenue]]-Table1[[#This Row],[Cost Price]]*Table1[[#This Row],[Quantity]]</f>
        <v>13993</v>
      </c>
      <c r="M101" s="41">
        <f>IFERROR(Table1[[#This Row],[Profit]]/Table1[[#This Row],[Revenue]],"")</f>
        <v>0.15618407688100633</v>
      </c>
      <c r="N101" s="22"/>
      <c r="O101" s="49" t="s">
        <v>153</v>
      </c>
      <c r="P101" s="50" cm="1">
        <f t="array" ref="P101:AA101">_xlfn.XLOOKUP(O101,Table1[Order ID],Table1[[Order Date]:[Profit Margin]],0,0,1)</f>
        <v>45776</v>
      </c>
      <c r="Q101" s="37" t="str">
        <v>Samsung Galaxy M14</v>
      </c>
      <c r="R101" s="37" t="str">
        <v>Electronics</v>
      </c>
      <c r="S101" s="37" t="str">
        <v>North</v>
      </c>
      <c r="T101" s="37">
        <v>7</v>
      </c>
      <c r="U101" s="37">
        <v>12799</v>
      </c>
      <c r="V101" s="37">
        <v>10800</v>
      </c>
      <c r="W101" s="37" t="str">
        <v>Returned</v>
      </c>
      <c r="X101" s="37" t="str">
        <v>Debit Card</v>
      </c>
      <c r="Y101" s="37">
        <v>89593</v>
      </c>
      <c r="Z101" s="37">
        <v>13993</v>
      </c>
      <c r="AA101" s="51">
        <v>0.15618407688100633</v>
      </c>
      <c r="AB101" s="15"/>
    </row>
    <row r="102" spans="1:28" x14ac:dyDescent="0.3">
      <c r="A102" s="22" t="s">
        <v>178</v>
      </c>
      <c r="B102" s="23">
        <v>45776</v>
      </c>
      <c r="C102" s="22" t="s">
        <v>21</v>
      </c>
      <c r="D102" s="22" t="s">
        <v>22</v>
      </c>
      <c r="E102" s="22" t="s">
        <v>13</v>
      </c>
      <c r="F102" s="24">
        <v>5</v>
      </c>
      <c r="G102" s="24">
        <v>599</v>
      </c>
      <c r="H102" s="24">
        <v>350</v>
      </c>
      <c r="I102" s="22" t="s">
        <v>24</v>
      </c>
      <c r="J102" s="22" t="s">
        <v>47</v>
      </c>
      <c r="K102" s="25">
        <f>Table1[[#This Row],[Quantity]]*Table1[[#This Row],[Unit Price]]</f>
        <v>2995</v>
      </c>
      <c r="L102" s="24">
        <f>Table1[[#This Row],[Revenue]]-Table1[[#This Row],[Cost Price]]*Table1[[#This Row],[Quantity]]</f>
        <v>1245</v>
      </c>
      <c r="M102" s="26">
        <f>IFERROR(Table1[[#This Row],[Profit]]/Table1[[#This Row],[Revenue]],"")</f>
        <v>0.41569282136894825</v>
      </c>
      <c r="N102" s="22"/>
      <c r="O102" s="42" t="s">
        <v>178</v>
      </c>
      <c r="P102" s="27" cm="1">
        <f t="array" ref="P102:AA102">_xlfn.XLOOKUP(O102,Table1[Order ID],Table1[[Order Date]:[Profit Margin]],0,0,1)</f>
        <v>45776</v>
      </c>
      <c r="Q102" s="22" t="str">
        <v>Cotton T-Shirt</v>
      </c>
      <c r="R102" s="22" t="str">
        <v>Fashion</v>
      </c>
      <c r="S102" s="22" t="str">
        <v>South</v>
      </c>
      <c r="T102" s="22">
        <v>5</v>
      </c>
      <c r="U102" s="22">
        <v>599</v>
      </c>
      <c r="V102" s="22">
        <v>350</v>
      </c>
      <c r="W102" s="22" t="str">
        <v>Cancelled</v>
      </c>
      <c r="X102" s="22" t="str">
        <v>Debit Card</v>
      </c>
      <c r="Y102" s="22">
        <v>2995</v>
      </c>
      <c r="Z102" s="22">
        <v>1245</v>
      </c>
      <c r="AA102" s="43">
        <v>0.41569282136894825</v>
      </c>
      <c r="AB102" s="15"/>
    </row>
    <row r="103" spans="1:28" x14ac:dyDescent="0.3">
      <c r="A103" s="37" t="s">
        <v>232</v>
      </c>
      <c r="B103" s="38">
        <v>45777</v>
      </c>
      <c r="C103" s="37" t="s">
        <v>49</v>
      </c>
      <c r="D103" s="37" t="s">
        <v>22</v>
      </c>
      <c r="E103" s="37" t="s">
        <v>18</v>
      </c>
      <c r="F103" s="39">
        <v>6</v>
      </c>
      <c r="G103" s="39">
        <v>2299</v>
      </c>
      <c r="H103" s="39">
        <v>1400</v>
      </c>
      <c r="I103" s="37" t="s">
        <v>33</v>
      </c>
      <c r="J103" s="37" t="s">
        <v>26</v>
      </c>
      <c r="K103" s="40">
        <f>Table1[[#This Row],[Quantity]]*Table1[[#This Row],[Unit Price]]</f>
        <v>13794</v>
      </c>
      <c r="L103" s="39">
        <f>Table1[[#This Row],[Revenue]]-Table1[[#This Row],[Cost Price]]*Table1[[#This Row],[Quantity]]</f>
        <v>5394</v>
      </c>
      <c r="M103" s="41">
        <f>IFERROR(Table1[[#This Row],[Profit]]/Table1[[#This Row],[Revenue]],"")</f>
        <v>0.39103958242714226</v>
      </c>
      <c r="N103" s="22"/>
      <c r="O103" s="49" t="s">
        <v>232</v>
      </c>
      <c r="P103" s="50" cm="1">
        <f t="array" ref="P103:AA103">_xlfn.XLOOKUP(O103,Table1[Order ID],Table1[[Order Date]:[Profit Margin]],0,0,1)</f>
        <v>45777</v>
      </c>
      <c r="Q103" s="37" t="str">
        <v>Running Shoes</v>
      </c>
      <c r="R103" s="37" t="str">
        <v>Fashion</v>
      </c>
      <c r="S103" s="37" t="str">
        <v>Central</v>
      </c>
      <c r="T103" s="37">
        <v>6</v>
      </c>
      <c r="U103" s="37">
        <v>2299</v>
      </c>
      <c r="V103" s="37">
        <v>1400</v>
      </c>
      <c r="W103" s="37" t="str">
        <v>Shipped</v>
      </c>
      <c r="X103" s="37" t="str">
        <v>Credit Card</v>
      </c>
      <c r="Y103" s="37">
        <v>13794</v>
      </c>
      <c r="Z103" s="37">
        <v>5394</v>
      </c>
      <c r="AA103" s="51">
        <v>0.39103958242714226</v>
      </c>
      <c r="AB103" s="15"/>
    </row>
    <row r="104" spans="1:28" x14ac:dyDescent="0.3">
      <c r="A104" s="22" t="s">
        <v>221</v>
      </c>
      <c r="B104" s="23">
        <v>45778</v>
      </c>
      <c r="C104" s="22" t="s">
        <v>54</v>
      </c>
      <c r="D104" s="22" t="s">
        <v>27</v>
      </c>
      <c r="E104" s="22" t="s">
        <v>18</v>
      </c>
      <c r="F104" s="24">
        <v>4</v>
      </c>
      <c r="G104" s="24">
        <v>599</v>
      </c>
      <c r="H104" s="24">
        <v>180</v>
      </c>
      <c r="I104" s="22" t="s">
        <v>33</v>
      </c>
      <c r="J104" s="22" t="s">
        <v>34</v>
      </c>
      <c r="K104" s="25">
        <f>Table1[[#This Row],[Quantity]]*Table1[[#This Row],[Unit Price]]</f>
        <v>2396</v>
      </c>
      <c r="L104" s="24">
        <f>Table1[[#This Row],[Revenue]]-Table1[[#This Row],[Cost Price]]*Table1[[#This Row],[Quantity]]</f>
        <v>1676</v>
      </c>
      <c r="M104" s="26">
        <f>IFERROR(Table1[[#This Row],[Profit]]/Table1[[#This Row],[Revenue]],"")</f>
        <v>0.69949916527545908</v>
      </c>
      <c r="N104" s="22"/>
      <c r="O104" s="42" t="s">
        <v>221</v>
      </c>
      <c r="P104" s="27" cm="1">
        <f t="array" ref="P104:AA104">_xlfn.XLOOKUP(O104,Table1[Order ID],Table1[[Order Date]:[Profit Margin]],0,0,1)</f>
        <v>45778</v>
      </c>
      <c r="Q104" s="22" t="str">
        <v>Printer Paper</v>
      </c>
      <c r="R104" s="22" t="str">
        <v>Stationery</v>
      </c>
      <c r="S104" s="22" t="str">
        <v>Central</v>
      </c>
      <c r="T104" s="22">
        <v>4</v>
      </c>
      <c r="U104" s="22">
        <v>599</v>
      </c>
      <c r="V104" s="22">
        <v>180</v>
      </c>
      <c r="W104" s="22" t="str">
        <v>Shipped</v>
      </c>
      <c r="X104" s="22" t="str">
        <v>UPI</v>
      </c>
      <c r="Y104" s="22">
        <v>2396</v>
      </c>
      <c r="Z104" s="22">
        <v>1676</v>
      </c>
      <c r="AA104" s="43">
        <v>0.69949916527545908</v>
      </c>
      <c r="AB104" s="15"/>
    </row>
    <row r="105" spans="1:28" x14ac:dyDescent="0.3">
      <c r="A105" s="37" t="s">
        <v>64</v>
      </c>
      <c r="B105" s="38">
        <v>45779</v>
      </c>
      <c r="C105" s="37" t="s">
        <v>65</v>
      </c>
      <c r="D105" s="37" t="s">
        <v>12</v>
      </c>
      <c r="E105" s="37" t="s">
        <v>13</v>
      </c>
      <c r="F105" s="39">
        <v>7</v>
      </c>
      <c r="G105" s="39">
        <v>5499</v>
      </c>
      <c r="H105" s="39">
        <v>3800</v>
      </c>
      <c r="I105" s="37" t="s">
        <v>19</v>
      </c>
      <c r="J105" s="37" t="s">
        <v>47</v>
      </c>
      <c r="K105" s="40">
        <f>Table1[[#This Row],[Quantity]]*Table1[[#This Row],[Unit Price]]</f>
        <v>38493</v>
      </c>
      <c r="L105" s="39">
        <f>Table1[[#This Row],[Revenue]]-Table1[[#This Row],[Cost Price]]*Table1[[#This Row],[Quantity]]</f>
        <v>11893</v>
      </c>
      <c r="M105" s="41">
        <f>IFERROR(Table1[[#This Row],[Profit]]/Table1[[#This Row],[Revenue]],"")</f>
        <v>0.30896526641207495</v>
      </c>
      <c r="N105" s="22"/>
      <c r="O105" s="49" t="s">
        <v>64</v>
      </c>
      <c r="P105" s="50" cm="1">
        <f t="array" ref="P105:AA105">_xlfn.XLOOKUP(O105,Table1[Order ID],Table1[[Order Date]:[Profit Margin]],0,0,1)</f>
        <v>45779</v>
      </c>
      <c r="Q105" s="37" t="str">
        <v>Office Chair</v>
      </c>
      <c r="R105" s="37" t="str">
        <v>Furniture</v>
      </c>
      <c r="S105" s="37" t="str">
        <v>South</v>
      </c>
      <c r="T105" s="37">
        <v>7</v>
      </c>
      <c r="U105" s="37">
        <v>5499</v>
      </c>
      <c r="V105" s="37">
        <v>3800</v>
      </c>
      <c r="W105" s="37" t="str">
        <v>Delivered</v>
      </c>
      <c r="X105" s="37" t="str">
        <v>Debit Card</v>
      </c>
      <c r="Y105" s="37">
        <v>38493</v>
      </c>
      <c r="Z105" s="37">
        <v>11893</v>
      </c>
      <c r="AA105" s="51">
        <v>0.30896526641207495</v>
      </c>
      <c r="AB105" s="15"/>
    </row>
    <row r="106" spans="1:28" x14ac:dyDescent="0.3">
      <c r="A106" s="22" t="s">
        <v>107</v>
      </c>
      <c r="B106" s="23">
        <v>45780</v>
      </c>
      <c r="C106" s="22" t="s">
        <v>60</v>
      </c>
      <c r="D106" s="22" t="s">
        <v>31</v>
      </c>
      <c r="E106" s="22" t="s">
        <v>13</v>
      </c>
      <c r="F106" s="24">
        <v>4</v>
      </c>
      <c r="G106" s="24">
        <v>3699</v>
      </c>
      <c r="H106" s="24">
        <v>2400</v>
      </c>
      <c r="I106" s="22" t="s">
        <v>24</v>
      </c>
      <c r="J106" s="22" t="s">
        <v>26</v>
      </c>
      <c r="K106" s="25">
        <f>Table1[[#This Row],[Quantity]]*Table1[[#This Row],[Unit Price]]</f>
        <v>14796</v>
      </c>
      <c r="L106" s="24">
        <f>Table1[[#This Row],[Revenue]]-Table1[[#This Row],[Cost Price]]*Table1[[#This Row],[Quantity]]</f>
        <v>5196</v>
      </c>
      <c r="M106" s="26">
        <f>IFERROR(Table1[[#This Row],[Profit]]/Table1[[#This Row],[Revenue]],"")</f>
        <v>0.35117599351175993</v>
      </c>
      <c r="N106" s="22"/>
      <c r="O106" s="42" t="s">
        <v>107</v>
      </c>
      <c r="P106" s="27" cm="1">
        <f t="array" ref="P106:AA106">_xlfn.XLOOKUP(O106,Table1[Order ID],Table1[[Order Date]:[Profit Margin]],0,0,1)</f>
        <v>45780</v>
      </c>
      <c r="Q106" s="22" t="str">
        <v>Smart Watch</v>
      </c>
      <c r="R106" s="22" t="str">
        <v>Electronics</v>
      </c>
      <c r="S106" s="22" t="str">
        <v>South</v>
      </c>
      <c r="T106" s="22">
        <v>4</v>
      </c>
      <c r="U106" s="22">
        <v>3699</v>
      </c>
      <c r="V106" s="22">
        <v>2400</v>
      </c>
      <c r="W106" s="22" t="str">
        <v>Cancelled</v>
      </c>
      <c r="X106" s="22" t="str">
        <v>Credit Card</v>
      </c>
      <c r="Y106" s="22">
        <v>14796</v>
      </c>
      <c r="Z106" s="22">
        <v>5196</v>
      </c>
      <c r="AA106" s="43">
        <v>0.35117599351175993</v>
      </c>
      <c r="AB106" s="15"/>
    </row>
    <row r="107" spans="1:28" x14ac:dyDescent="0.3">
      <c r="A107" s="37" t="s">
        <v>262</v>
      </c>
      <c r="B107" s="38">
        <v>45781</v>
      </c>
      <c r="C107" s="37" t="s">
        <v>49</v>
      </c>
      <c r="D107" s="37" t="s">
        <v>22</v>
      </c>
      <c r="E107" s="37" t="s">
        <v>32</v>
      </c>
      <c r="F107" s="39">
        <v>8</v>
      </c>
      <c r="G107" s="39">
        <v>2499</v>
      </c>
      <c r="H107" s="39">
        <v>1400</v>
      </c>
      <c r="I107" s="37" t="s">
        <v>19</v>
      </c>
      <c r="J107" s="37" t="s">
        <v>47</v>
      </c>
      <c r="K107" s="40">
        <f>Table1[[#This Row],[Quantity]]*Table1[[#This Row],[Unit Price]]</f>
        <v>19992</v>
      </c>
      <c r="L107" s="39">
        <f>Table1[[#This Row],[Revenue]]-Table1[[#This Row],[Cost Price]]*Table1[[#This Row],[Quantity]]</f>
        <v>8792</v>
      </c>
      <c r="M107" s="41">
        <f>IFERROR(Table1[[#This Row],[Profit]]/Table1[[#This Row],[Revenue]],"")</f>
        <v>0.43977591036414565</v>
      </c>
      <c r="N107" s="22"/>
      <c r="O107" s="49" t="s">
        <v>262</v>
      </c>
      <c r="P107" s="50" cm="1">
        <f t="array" ref="P107:AA107">_xlfn.XLOOKUP(O107,Table1[Order ID],Table1[[Order Date]:[Profit Margin]],0,0,1)</f>
        <v>45781</v>
      </c>
      <c r="Q107" s="37" t="str">
        <v>Running Shoes</v>
      </c>
      <c r="R107" s="37" t="str">
        <v>Fashion</v>
      </c>
      <c r="S107" s="37" t="str">
        <v>North</v>
      </c>
      <c r="T107" s="37">
        <v>8</v>
      </c>
      <c r="U107" s="37">
        <v>2499</v>
      </c>
      <c r="V107" s="37">
        <v>1400</v>
      </c>
      <c r="W107" s="37" t="str">
        <v>Delivered</v>
      </c>
      <c r="X107" s="37" t="str">
        <v>Debit Card</v>
      </c>
      <c r="Y107" s="37">
        <v>19992</v>
      </c>
      <c r="Z107" s="37">
        <v>8792</v>
      </c>
      <c r="AA107" s="51">
        <v>0.43977591036414565</v>
      </c>
      <c r="AB107" s="15"/>
    </row>
    <row r="108" spans="1:28" x14ac:dyDescent="0.3">
      <c r="A108" s="22" t="s">
        <v>284</v>
      </c>
      <c r="B108" s="23">
        <v>45781</v>
      </c>
      <c r="C108" s="22" t="s">
        <v>46</v>
      </c>
      <c r="D108" s="22" t="s">
        <v>27</v>
      </c>
      <c r="E108" s="22" t="s">
        <v>13</v>
      </c>
      <c r="F108" s="24">
        <v>10</v>
      </c>
      <c r="G108" s="24">
        <v>399</v>
      </c>
      <c r="H108" s="24">
        <v>120</v>
      </c>
      <c r="I108" s="22" t="s">
        <v>14</v>
      </c>
      <c r="J108" s="22" t="s">
        <v>47</v>
      </c>
      <c r="K108" s="25">
        <f>Table1[[#This Row],[Quantity]]*Table1[[#This Row],[Unit Price]]</f>
        <v>3990</v>
      </c>
      <c r="L108" s="24">
        <f>Table1[[#This Row],[Revenue]]-Table1[[#This Row],[Cost Price]]*Table1[[#This Row],[Quantity]]</f>
        <v>2790</v>
      </c>
      <c r="M108" s="26">
        <f>IFERROR(Table1[[#This Row],[Profit]]/Table1[[#This Row],[Revenue]],"")</f>
        <v>0.6992481203007519</v>
      </c>
      <c r="N108" s="22"/>
      <c r="O108" s="42" t="s">
        <v>284</v>
      </c>
      <c r="P108" s="27" cm="1">
        <f t="array" ref="P108:AA108">_xlfn.XLOOKUP(O108,Table1[Order ID],Table1[[Order Date]:[Profit Margin]],0,0,1)</f>
        <v>45781</v>
      </c>
      <c r="Q108" s="22" t="str">
        <v>Notebook Pack</v>
      </c>
      <c r="R108" s="22" t="str">
        <v>Stationery</v>
      </c>
      <c r="S108" s="22" t="str">
        <v>South</v>
      </c>
      <c r="T108" s="22">
        <v>10</v>
      </c>
      <c r="U108" s="22">
        <v>399</v>
      </c>
      <c r="V108" s="22">
        <v>120</v>
      </c>
      <c r="W108" s="22" t="str">
        <v>Returned</v>
      </c>
      <c r="X108" s="22" t="str">
        <v>Debit Card</v>
      </c>
      <c r="Y108" s="22">
        <v>3990</v>
      </c>
      <c r="Z108" s="22">
        <v>2790</v>
      </c>
      <c r="AA108" s="43">
        <v>0.6992481203007519</v>
      </c>
      <c r="AB108" s="15"/>
    </row>
    <row r="109" spans="1:28" x14ac:dyDescent="0.3">
      <c r="A109" s="37" t="s">
        <v>184</v>
      </c>
      <c r="B109" s="38">
        <v>45782</v>
      </c>
      <c r="C109" s="37" t="s">
        <v>57</v>
      </c>
      <c r="D109" s="37" t="s">
        <v>17</v>
      </c>
      <c r="E109" s="37" t="s">
        <v>13</v>
      </c>
      <c r="F109" s="39">
        <v>1</v>
      </c>
      <c r="G109" s="39">
        <v>8999</v>
      </c>
      <c r="H109" s="39">
        <v>7000</v>
      </c>
      <c r="I109" s="37" t="s">
        <v>24</v>
      </c>
      <c r="J109" s="37" t="s">
        <v>34</v>
      </c>
      <c r="K109" s="40">
        <f>Table1[[#This Row],[Quantity]]*Table1[[#This Row],[Unit Price]]</f>
        <v>8999</v>
      </c>
      <c r="L109" s="39">
        <f>Table1[[#This Row],[Revenue]]-Table1[[#This Row],[Cost Price]]*Table1[[#This Row],[Quantity]]</f>
        <v>1999</v>
      </c>
      <c r="M109" s="41">
        <f>IFERROR(Table1[[#This Row],[Profit]]/Table1[[#This Row],[Revenue]],"")</f>
        <v>0.22213579286587398</v>
      </c>
      <c r="N109" s="22"/>
      <c r="O109" s="49" t="s">
        <v>184</v>
      </c>
      <c r="P109" s="50" cm="1">
        <f t="array" ref="P109:AA109">_xlfn.XLOOKUP(O109,Table1[Order ID],Table1[[Order Date]:[Profit Margin]],0,0,1)</f>
        <v>45782</v>
      </c>
      <c r="Q109" s="37" t="str">
        <v>Water Purifier</v>
      </c>
      <c r="R109" s="37" t="str">
        <v>Appliances</v>
      </c>
      <c r="S109" s="37" t="str">
        <v>South</v>
      </c>
      <c r="T109" s="37">
        <v>1</v>
      </c>
      <c r="U109" s="37">
        <v>8999</v>
      </c>
      <c r="V109" s="37">
        <v>7000</v>
      </c>
      <c r="W109" s="37" t="str">
        <v>Cancelled</v>
      </c>
      <c r="X109" s="37" t="str">
        <v>UPI</v>
      </c>
      <c r="Y109" s="37">
        <v>8999</v>
      </c>
      <c r="Z109" s="37">
        <v>1999</v>
      </c>
      <c r="AA109" s="51">
        <v>0.22213579286587398</v>
      </c>
      <c r="AB109" s="15"/>
    </row>
    <row r="110" spans="1:28" x14ac:dyDescent="0.3">
      <c r="A110" s="22" t="s">
        <v>238</v>
      </c>
      <c r="B110" s="23">
        <v>45782</v>
      </c>
      <c r="C110" s="22" t="s">
        <v>57</v>
      </c>
      <c r="D110" s="22" t="s">
        <v>17</v>
      </c>
      <c r="E110" s="22" t="s">
        <v>13</v>
      </c>
      <c r="F110" s="24">
        <v>10</v>
      </c>
      <c r="G110" s="24">
        <v>8999</v>
      </c>
      <c r="H110" s="24">
        <v>7000</v>
      </c>
      <c r="I110" s="22" t="s">
        <v>41</v>
      </c>
      <c r="J110" s="22" t="s">
        <v>26</v>
      </c>
      <c r="K110" s="25">
        <f>Table1[[#This Row],[Quantity]]*Table1[[#This Row],[Unit Price]]</f>
        <v>89990</v>
      </c>
      <c r="L110" s="24">
        <f>Table1[[#This Row],[Revenue]]-Table1[[#This Row],[Cost Price]]*Table1[[#This Row],[Quantity]]</f>
        <v>19990</v>
      </c>
      <c r="M110" s="26">
        <f>IFERROR(Table1[[#This Row],[Profit]]/Table1[[#This Row],[Revenue]],"")</f>
        <v>0.22213579286587398</v>
      </c>
      <c r="N110" s="22"/>
      <c r="O110" s="42" t="s">
        <v>238</v>
      </c>
      <c r="P110" s="27" cm="1">
        <f t="array" ref="P110:AA110">_xlfn.XLOOKUP(O110,Table1[Order ID],Table1[[Order Date]:[Profit Margin]],0,0,1)</f>
        <v>45782</v>
      </c>
      <c r="Q110" s="22" t="str">
        <v>Water Purifier</v>
      </c>
      <c r="R110" s="22" t="str">
        <v>Appliances</v>
      </c>
      <c r="S110" s="22" t="str">
        <v>South</v>
      </c>
      <c r="T110" s="22">
        <v>10</v>
      </c>
      <c r="U110" s="22">
        <v>8999</v>
      </c>
      <c r="V110" s="22">
        <v>7000</v>
      </c>
      <c r="W110" s="22" t="str">
        <v>Processing</v>
      </c>
      <c r="X110" s="22" t="str">
        <v>Credit Card</v>
      </c>
      <c r="Y110" s="22">
        <v>89990</v>
      </c>
      <c r="Z110" s="22">
        <v>19990</v>
      </c>
      <c r="AA110" s="43">
        <v>0.22213579286587398</v>
      </c>
      <c r="AB110" s="15"/>
    </row>
    <row r="111" spans="1:28" x14ac:dyDescent="0.3">
      <c r="A111" s="37" t="s">
        <v>39</v>
      </c>
      <c r="B111" s="38">
        <v>45783</v>
      </c>
      <c r="C111" s="37" t="s">
        <v>30</v>
      </c>
      <c r="D111" s="37" t="s">
        <v>31</v>
      </c>
      <c r="E111" s="37" t="s">
        <v>13</v>
      </c>
      <c r="F111" s="39">
        <v>9</v>
      </c>
      <c r="G111" s="39">
        <v>15799</v>
      </c>
      <c r="H111" s="39">
        <v>13500</v>
      </c>
      <c r="I111" s="37" t="s">
        <v>41</v>
      </c>
      <c r="J111" s="37" t="s">
        <v>34</v>
      </c>
      <c r="K111" s="40">
        <f>Table1[[#This Row],[Quantity]]*Table1[[#This Row],[Unit Price]]</f>
        <v>142191</v>
      </c>
      <c r="L111" s="39">
        <f>Table1[[#This Row],[Revenue]]-Table1[[#This Row],[Cost Price]]*Table1[[#This Row],[Quantity]]</f>
        <v>20691</v>
      </c>
      <c r="M111" s="41">
        <f>IFERROR(Table1[[#This Row],[Profit]]/Table1[[#This Row],[Revenue]],"")</f>
        <v>0.14551553895816191</v>
      </c>
      <c r="N111" s="22"/>
      <c r="O111" s="49" t="s">
        <v>39</v>
      </c>
      <c r="P111" s="50" cm="1">
        <f t="array" ref="P111:AA111">_xlfn.XLOOKUP(O111,Table1[Order ID],Table1[[Order Date]:[Profit Margin]],0,0,1)</f>
        <v>45783</v>
      </c>
      <c r="Q111" s="37" t="str">
        <v>Redmi Note 13</v>
      </c>
      <c r="R111" s="37" t="str">
        <v>Electronics</v>
      </c>
      <c r="S111" s="37" t="str">
        <v>South</v>
      </c>
      <c r="T111" s="37">
        <v>9</v>
      </c>
      <c r="U111" s="37">
        <v>15799</v>
      </c>
      <c r="V111" s="37">
        <v>13500</v>
      </c>
      <c r="W111" s="37" t="str">
        <v>Processing</v>
      </c>
      <c r="X111" s="37" t="str">
        <v>UPI</v>
      </c>
      <c r="Y111" s="37">
        <v>142191</v>
      </c>
      <c r="Z111" s="37">
        <v>20691</v>
      </c>
      <c r="AA111" s="51">
        <v>0.14551553895816191</v>
      </c>
      <c r="AB111" s="15"/>
    </row>
    <row r="112" spans="1:28" x14ac:dyDescent="0.3">
      <c r="A112" s="22" t="s">
        <v>83</v>
      </c>
      <c r="B112" s="23">
        <v>45784</v>
      </c>
      <c r="C112" s="22" t="s">
        <v>57</v>
      </c>
      <c r="D112" s="22" t="s">
        <v>17</v>
      </c>
      <c r="E112" s="22" t="s">
        <v>23</v>
      </c>
      <c r="F112" s="24">
        <v>5</v>
      </c>
      <c r="G112" s="24">
        <v>8799</v>
      </c>
      <c r="H112" s="24">
        <v>7000</v>
      </c>
      <c r="I112" s="22" t="s">
        <v>19</v>
      </c>
      <c r="J112" s="22" t="s">
        <v>55</v>
      </c>
      <c r="K112" s="25">
        <f>Table1[[#This Row],[Quantity]]*Table1[[#This Row],[Unit Price]]</f>
        <v>43995</v>
      </c>
      <c r="L112" s="24">
        <f>Table1[[#This Row],[Revenue]]-Table1[[#This Row],[Cost Price]]*Table1[[#This Row],[Quantity]]</f>
        <v>8995</v>
      </c>
      <c r="M112" s="26">
        <f>IFERROR(Table1[[#This Row],[Profit]]/Table1[[#This Row],[Revenue]],"")</f>
        <v>0.20445505171042164</v>
      </c>
      <c r="N112" s="22"/>
      <c r="O112" s="42" t="s">
        <v>83</v>
      </c>
      <c r="P112" s="27" cm="1">
        <f t="array" ref="P112:AA112">_xlfn.XLOOKUP(O112,Table1[Order ID],Table1[[Order Date]:[Profit Margin]],0,0,1)</f>
        <v>45784</v>
      </c>
      <c r="Q112" s="22" t="str">
        <v>Water Purifier</v>
      </c>
      <c r="R112" s="22" t="str">
        <v>Appliances</v>
      </c>
      <c r="S112" s="22" t="str">
        <v>West</v>
      </c>
      <c r="T112" s="22">
        <v>5</v>
      </c>
      <c r="U112" s="22">
        <v>8799</v>
      </c>
      <c r="V112" s="22">
        <v>7000</v>
      </c>
      <c r="W112" s="22" t="str">
        <v>Delivered</v>
      </c>
      <c r="X112" s="22" t="str">
        <v>Net Banking</v>
      </c>
      <c r="Y112" s="22">
        <v>43995</v>
      </c>
      <c r="Z112" s="22">
        <v>8995</v>
      </c>
      <c r="AA112" s="43">
        <v>0.20445505171042164</v>
      </c>
      <c r="AB112" s="15"/>
    </row>
    <row r="113" spans="1:28" x14ac:dyDescent="0.3">
      <c r="A113" s="37" t="s">
        <v>282</v>
      </c>
      <c r="B113" s="38">
        <v>45785</v>
      </c>
      <c r="C113" s="37" t="s">
        <v>60</v>
      </c>
      <c r="D113" s="37" t="s">
        <v>31</v>
      </c>
      <c r="E113" s="37" t="s">
        <v>28</v>
      </c>
      <c r="F113" s="39">
        <v>7</v>
      </c>
      <c r="G113" s="39">
        <v>3599</v>
      </c>
      <c r="H113" s="39">
        <v>2400</v>
      </c>
      <c r="I113" s="37" t="s">
        <v>41</v>
      </c>
      <c r="J113" s="37" t="s">
        <v>26</v>
      </c>
      <c r="K113" s="40">
        <f>Table1[[#This Row],[Quantity]]*Table1[[#This Row],[Unit Price]]</f>
        <v>25193</v>
      </c>
      <c r="L113" s="39">
        <f>Table1[[#This Row],[Revenue]]-Table1[[#This Row],[Cost Price]]*Table1[[#This Row],[Quantity]]</f>
        <v>8393</v>
      </c>
      <c r="M113" s="41">
        <f>IFERROR(Table1[[#This Row],[Profit]]/Table1[[#This Row],[Revenue]],"")</f>
        <v>0.33314809669352596</v>
      </c>
      <c r="N113" s="22"/>
      <c r="O113" s="49" t="s">
        <v>282</v>
      </c>
      <c r="P113" s="50" cm="1">
        <f t="array" ref="P113:AA113">_xlfn.XLOOKUP(O113,Table1[Order ID],Table1[[Order Date]:[Profit Margin]],0,0,1)</f>
        <v>45785</v>
      </c>
      <c r="Q113" s="37" t="str">
        <v>Smart Watch</v>
      </c>
      <c r="R113" s="37" t="str">
        <v>Electronics</v>
      </c>
      <c r="S113" s="37" t="str">
        <v>East</v>
      </c>
      <c r="T113" s="37">
        <v>7</v>
      </c>
      <c r="U113" s="37">
        <v>3599</v>
      </c>
      <c r="V113" s="37">
        <v>2400</v>
      </c>
      <c r="W113" s="37" t="str">
        <v>Processing</v>
      </c>
      <c r="X113" s="37" t="str">
        <v>Credit Card</v>
      </c>
      <c r="Y113" s="37">
        <v>25193</v>
      </c>
      <c r="Z113" s="37">
        <v>8393</v>
      </c>
      <c r="AA113" s="51">
        <v>0.33314809669352596</v>
      </c>
      <c r="AB113" s="15"/>
    </row>
    <row r="114" spans="1:28" x14ac:dyDescent="0.3">
      <c r="A114" s="22" t="s">
        <v>202</v>
      </c>
      <c r="B114" s="23">
        <v>45786</v>
      </c>
      <c r="C114" s="22" t="s">
        <v>60</v>
      </c>
      <c r="D114" s="22" t="s">
        <v>31</v>
      </c>
      <c r="E114" s="22" t="s">
        <v>28</v>
      </c>
      <c r="F114" s="24">
        <v>4</v>
      </c>
      <c r="G114" s="24">
        <v>3599</v>
      </c>
      <c r="H114" s="24">
        <v>2400</v>
      </c>
      <c r="I114" s="22" t="s">
        <v>19</v>
      </c>
      <c r="J114" s="22" t="s">
        <v>26</v>
      </c>
      <c r="K114" s="25">
        <f>Table1[[#This Row],[Quantity]]*Table1[[#This Row],[Unit Price]]</f>
        <v>14396</v>
      </c>
      <c r="L114" s="24">
        <f>Table1[[#This Row],[Revenue]]-Table1[[#This Row],[Cost Price]]*Table1[[#This Row],[Quantity]]</f>
        <v>4796</v>
      </c>
      <c r="M114" s="26">
        <f>IFERROR(Table1[[#This Row],[Profit]]/Table1[[#This Row],[Revenue]],"")</f>
        <v>0.33314809669352596</v>
      </c>
      <c r="N114" s="22"/>
      <c r="O114" s="42" t="s">
        <v>202</v>
      </c>
      <c r="P114" s="27" cm="1">
        <f t="array" ref="P114:AA114">_xlfn.XLOOKUP(O114,Table1[Order ID],Table1[[Order Date]:[Profit Margin]],0,0,1)</f>
        <v>45786</v>
      </c>
      <c r="Q114" s="22" t="str">
        <v>Smart Watch</v>
      </c>
      <c r="R114" s="22" t="str">
        <v>Electronics</v>
      </c>
      <c r="S114" s="22" t="str">
        <v>East</v>
      </c>
      <c r="T114" s="22">
        <v>4</v>
      </c>
      <c r="U114" s="22">
        <v>3599</v>
      </c>
      <c r="V114" s="22">
        <v>2400</v>
      </c>
      <c r="W114" s="22" t="str">
        <v>Delivered</v>
      </c>
      <c r="X114" s="22" t="str">
        <v>Credit Card</v>
      </c>
      <c r="Y114" s="22">
        <v>14396</v>
      </c>
      <c r="Z114" s="22">
        <v>4796</v>
      </c>
      <c r="AA114" s="43">
        <v>0.33314809669352596</v>
      </c>
      <c r="AB114" s="15"/>
    </row>
    <row r="115" spans="1:28" x14ac:dyDescent="0.3">
      <c r="A115" s="37" t="s">
        <v>118</v>
      </c>
      <c r="B115" s="38">
        <v>45787</v>
      </c>
      <c r="C115" s="37" t="s">
        <v>65</v>
      </c>
      <c r="D115" s="37" t="s">
        <v>12</v>
      </c>
      <c r="E115" s="37" t="s">
        <v>32</v>
      </c>
      <c r="F115" s="39">
        <v>7</v>
      </c>
      <c r="G115" s="39">
        <v>5399</v>
      </c>
      <c r="H115" s="39">
        <v>3800</v>
      </c>
      <c r="I115" s="37" t="s">
        <v>19</v>
      </c>
      <c r="J115" s="37" t="s">
        <v>55</v>
      </c>
      <c r="K115" s="40">
        <f>Table1[[#This Row],[Quantity]]*Table1[[#This Row],[Unit Price]]</f>
        <v>37793</v>
      </c>
      <c r="L115" s="39">
        <f>Table1[[#This Row],[Revenue]]-Table1[[#This Row],[Cost Price]]*Table1[[#This Row],[Quantity]]</f>
        <v>11193</v>
      </c>
      <c r="M115" s="41">
        <f>IFERROR(Table1[[#This Row],[Profit]]/Table1[[#This Row],[Revenue]],"")</f>
        <v>0.29616595665864048</v>
      </c>
      <c r="N115" s="22"/>
      <c r="O115" s="49" t="s">
        <v>118</v>
      </c>
      <c r="P115" s="50" cm="1">
        <f t="array" ref="P115:AA115">_xlfn.XLOOKUP(O115,Table1[Order ID],Table1[[Order Date]:[Profit Margin]],0,0,1)</f>
        <v>45787</v>
      </c>
      <c r="Q115" s="37" t="str">
        <v>Office Chair</v>
      </c>
      <c r="R115" s="37" t="str">
        <v>Furniture</v>
      </c>
      <c r="S115" s="37" t="str">
        <v>North</v>
      </c>
      <c r="T115" s="37">
        <v>7</v>
      </c>
      <c r="U115" s="37">
        <v>5399</v>
      </c>
      <c r="V115" s="37">
        <v>3800</v>
      </c>
      <c r="W115" s="37" t="str">
        <v>Delivered</v>
      </c>
      <c r="X115" s="37" t="str">
        <v>Net Banking</v>
      </c>
      <c r="Y115" s="37">
        <v>37793</v>
      </c>
      <c r="Z115" s="37">
        <v>11193</v>
      </c>
      <c r="AA115" s="51">
        <v>0.29616595665864048</v>
      </c>
      <c r="AB115" s="15"/>
    </row>
    <row r="116" spans="1:28" x14ac:dyDescent="0.3">
      <c r="A116" s="22" t="s">
        <v>296</v>
      </c>
      <c r="B116" s="23">
        <v>45787</v>
      </c>
      <c r="C116" s="22" t="s">
        <v>65</v>
      </c>
      <c r="D116" s="22" t="s">
        <v>12</v>
      </c>
      <c r="E116" s="22" t="s">
        <v>23</v>
      </c>
      <c r="F116" s="24">
        <v>9</v>
      </c>
      <c r="G116" s="24">
        <v>5499</v>
      </c>
      <c r="H116" s="24">
        <v>3800</v>
      </c>
      <c r="I116" s="22" t="s">
        <v>41</v>
      </c>
      <c r="J116" s="22" t="s">
        <v>34</v>
      </c>
      <c r="K116" s="25">
        <f>Table1[[#This Row],[Quantity]]*Table1[[#This Row],[Unit Price]]</f>
        <v>49491</v>
      </c>
      <c r="L116" s="24">
        <f>Table1[[#This Row],[Revenue]]-Table1[[#This Row],[Cost Price]]*Table1[[#This Row],[Quantity]]</f>
        <v>15291</v>
      </c>
      <c r="M116" s="26">
        <f>IFERROR(Table1[[#This Row],[Profit]]/Table1[[#This Row],[Revenue]],"")</f>
        <v>0.30896526641207495</v>
      </c>
      <c r="N116" s="22"/>
      <c r="O116" s="42" t="s">
        <v>296</v>
      </c>
      <c r="P116" s="27" cm="1">
        <f t="array" ref="P116:AA116">_xlfn.XLOOKUP(O116,Table1[Order ID],Table1[[Order Date]:[Profit Margin]],0,0,1)</f>
        <v>45787</v>
      </c>
      <c r="Q116" s="22" t="str">
        <v>Office Chair</v>
      </c>
      <c r="R116" s="22" t="str">
        <v>Furniture</v>
      </c>
      <c r="S116" s="22" t="str">
        <v>West</v>
      </c>
      <c r="T116" s="22">
        <v>9</v>
      </c>
      <c r="U116" s="22">
        <v>5499</v>
      </c>
      <c r="V116" s="22">
        <v>3800</v>
      </c>
      <c r="W116" s="22" t="str">
        <v>Processing</v>
      </c>
      <c r="X116" s="22" t="str">
        <v>UPI</v>
      </c>
      <c r="Y116" s="22">
        <v>49491</v>
      </c>
      <c r="Z116" s="22">
        <v>15291</v>
      </c>
      <c r="AA116" s="43">
        <v>0.30896526641207495</v>
      </c>
      <c r="AB116" s="15"/>
    </row>
    <row r="117" spans="1:28" x14ac:dyDescent="0.3">
      <c r="A117" s="37" t="s">
        <v>139</v>
      </c>
      <c r="B117" s="38">
        <v>45790</v>
      </c>
      <c r="C117" s="37" t="s">
        <v>16</v>
      </c>
      <c r="D117" s="37" t="s">
        <v>17</v>
      </c>
      <c r="E117" s="37" t="s">
        <v>18</v>
      </c>
      <c r="F117" s="39">
        <v>3</v>
      </c>
      <c r="G117" s="39">
        <v>3499</v>
      </c>
      <c r="H117" s="39">
        <v>2500</v>
      </c>
      <c r="I117" s="37" t="s">
        <v>19</v>
      </c>
      <c r="J117" s="37" t="s">
        <v>47</v>
      </c>
      <c r="K117" s="40">
        <f>Table1[[#This Row],[Quantity]]*Table1[[#This Row],[Unit Price]]</f>
        <v>10497</v>
      </c>
      <c r="L117" s="39">
        <f>Table1[[#This Row],[Revenue]]-Table1[[#This Row],[Cost Price]]*Table1[[#This Row],[Quantity]]</f>
        <v>2997</v>
      </c>
      <c r="M117" s="41">
        <f>IFERROR(Table1[[#This Row],[Profit]]/Table1[[#This Row],[Revenue]],"")</f>
        <v>0.28551014575593026</v>
      </c>
      <c r="N117" s="22"/>
      <c r="O117" s="49" t="s">
        <v>139</v>
      </c>
      <c r="P117" s="50" cm="1">
        <f t="array" ref="P117:AA117">_xlfn.XLOOKUP(O117,Table1[Order ID],Table1[[Order Date]:[Profit Margin]],0,0,1)</f>
        <v>45790</v>
      </c>
      <c r="Q117" s="37" t="str">
        <v>Mixer Grinder</v>
      </c>
      <c r="R117" s="37" t="str">
        <v>Appliances</v>
      </c>
      <c r="S117" s="37" t="str">
        <v>Central</v>
      </c>
      <c r="T117" s="37">
        <v>3</v>
      </c>
      <c r="U117" s="37">
        <v>3499</v>
      </c>
      <c r="V117" s="37">
        <v>2500</v>
      </c>
      <c r="W117" s="37" t="str">
        <v>Delivered</v>
      </c>
      <c r="X117" s="37" t="str">
        <v>Debit Card</v>
      </c>
      <c r="Y117" s="37">
        <v>10497</v>
      </c>
      <c r="Z117" s="37">
        <v>2997</v>
      </c>
      <c r="AA117" s="51">
        <v>0.28551014575593026</v>
      </c>
      <c r="AB117" s="15"/>
    </row>
    <row r="118" spans="1:28" x14ac:dyDescent="0.3">
      <c r="A118" s="22" t="s">
        <v>312</v>
      </c>
      <c r="B118" s="23">
        <v>45791</v>
      </c>
      <c r="C118" s="22" t="s">
        <v>21</v>
      </c>
      <c r="D118" s="22" t="s">
        <v>22</v>
      </c>
      <c r="E118" s="22" t="s">
        <v>23</v>
      </c>
      <c r="F118" s="24">
        <v>4</v>
      </c>
      <c r="G118" s="24">
        <v>799</v>
      </c>
      <c r="H118" s="24">
        <v>350</v>
      </c>
      <c r="I118" s="22" t="s">
        <v>33</v>
      </c>
      <c r="J118" s="22" t="s">
        <v>26</v>
      </c>
      <c r="K118" s="25">
        <f>Table1[[#This Row],[Quantity]]*Table1[[#This Row],[Unit Price]]</f>
        <v>3196</v>
      </c>
      <c r="L118" s="24">
        <f>Table1[[#This Row],[Revenue]]-Table1[[#This Row],[Cost Price]]*Table1[[#This Row],[Quantity]]</f>
        <v>1796</v>
      </c>
      <c r="M118" s="26">
        <f>IFERROR(Table1[[#This Row],[Profit]]/Table1[[#This Row],[Revenue]],"")</f>
        <v>0.56195244055068838</v>
      </c>
      <c r="N118" s="22"/>
      <c r="O118" s="42" t="s">
        <v>312</v>
      </c>
      <c r="P118" s="27" cm="1">
        <f t="array" ref="P118:AA118">_xlfn.XLOOKUP(O118,Table1[Order ID],Table1[[Order Date]:[Profit Margin]],0,0,1)</f>
        <v>45791</v>
      </c>
      <c r="Q118" s="22" t="str">
        <v>Cotton T-Shirt</v>
      </c>
      <c r="R118" s="22" t="str">
        <v>Fashion</v>
      </c>
      <c r="S118" s="22" t="str">
        <v>West</v>
      </c>
      <c r="T118" s="22">
        <v>4</v>
      </c>
      <c r="U118" s="22">
        <v>799</v>
      </c>
      <c r="V118" s="22">
        <v>350</v>
      </c>
      <c r="W118" s="22" t="str">
        <v>Shipped</v>
      </c>
      <c r="X118" s="22" t="str">
        <v>Credit Card</v>
      </c>
      <c r="Y118" s="22">
        <v>3196</v>
      </c>
      <c r="Z118" s="22">
        <v>1796</v>
      </c>
      <c r="AA118" s="43">
        <v>0.56195244055068838</v>
      </c>
      <c r="AB118" s="15"/>
    </row>
    <row r="119" spans="1:28" x14ac:dyDescent="0.3">
      <c r="A119" s="37" t="s">
        <v>196</v>
      </c>
      <c r="B119" s="38">
        <v>45792</v>
      </c>
      <c r="C119" s="37" t="s">
        <v>11</v>
      </c>
      <c r="D119" s="37" t="s">
        <v>12</v>
      </c>
      <c r="E119" s="37" t="s">
        <v>32</v>
      </c>
      <c r="F119" s="39">
        <v>8</v>
      </c>
      <c r="G119" s="39">
        <v>7199</v>
      </c>
      <c r="H119" s="39">
        <v>5000</v>
      </c>
      <c r="I119" s="37" t="s">
        <v>14</v>
      </c>
      <c r="J119" s="37" t="s">
        <v>34</v>
      </c>
      <c r="K119" s="40">
        <f>Table1[[#This Row],[Quantity]]*Table1[[#This Row],[Unit Price]]</f>
        <v>57592</v>
      </c>
      <c r="L119" s="39">
        <f>Table1[[#This Row],[Revenue]]-Table1[[#This Row],[Cost Price]]*Table1[[#This Row],[Quantity]]</f>
        <v>17592</v>
      </c>
      <c r="M119" s="41">
        <f>IFERROR(Table1[[#This Row],[Profit]]/Table1[[#This Row],[Revenue]],"")</f>
        <v>0.30545909154049172</v>
      </c>
      <c r="N119" s="22"/>
      <c r="O119" s="49" t="s">
        <v>196</v>
      </c>
      <c r="P119" s="50" cm="1">
        <f t="array" ref="P119:AA119">_xlfn.XLOOKUP(O119,Table1[Order ID],Table1[[Order Date]:[Profit Margin]],0,0,1)</f>
        <v>45792</v>
      </c>
      <c r="Q119" s="37" t="str">
        <v>Study Table</v>
      </c>
      <c r="R119" s="37" t="str">
        <v>Furniture</v>
      </c>
      <c r="S119" s="37" t="str">
        <v>North</v>
      </c>
      <c r="T119" s="37">
        <v>8</v>
      </c>
      <c r="U119" s="37">
        <v>7199</v>
      </c>
      <c r="V119" s="37">
        <v>5000</v>
      </c>
      <c r="W119" s="37" t="str">
        <v>Returned</v>
      </c>
      <c r="X119" s="37" t="str">
        <v>UPI</v>
      </c>
      <c r="Y119" s="37">
        <v>57592</v>
      </c>
      <c r="Z119" s="37">
        <v>17592</v>
      </c>
      <c r="AA119" s="51">
        <v>0.30545909154049172</v>
      </c>
      <c r="AB119" s="15"/>
    </row>
    <row r="120" spans="1:28" x14ac:dyDescent="0.3">
      <c r="A120" s="22" t="s">
        <v>234</v>
      </c>
      <c r="B120" s="23">
        <v>45793</v>
      </c>
      <c r="C120" s="22" t="s">
        <v>49</v>
      </c>
      <c r="D120" s="22" t="s">
        <v>22</v>
      </c>
      <c r="E120" s="22" t="s">
        <v>28</v>
      </c>
      <c r="F120" s="24">
        <v>1</v>
      </c>
      <c r="G120" s="24">
        <v>2599</v>
      </c>
      <c r="H120" s="24">
        <v>1400</v>
      </c>
      <c r="I120" s="22" t="s">
        <v>41</v>
      </c>
      <c r="J120" s="22" t="s">
        <v>47</v>
      </c>
      <c r="K120" s="25">
        <f>Table1[[#This Row],[Quantity]]*Table1[[#This Row],[Unit Price]]</f>
        <v>2599</v>
      </c>
      <c r="L120" s="24">
        <f>Table1[[#This Row],[Revenue]]-Table1[[#This Row],[Cost Price]]*Table1[[#This Row],[Quantity]]</f>
        <v>1199</v>
      </c>
      <c r="M120" s="26">
        <f>IFERROR(Table1[[#This Row],[Profit]]/Table1[[#This Row],[Revenue]],"")</f>
        <v>0.46133128126202383</v>
      </c>
      <c r="N120" s="22"/>
      <c r="O120" s="42" t="s">
        <v>234</v>
      </c>
      <c r="P120" s="27" cm="1">
        <f t="array" ref="P120:AA120">_xlfn.XLOOKUP(O120,Table1[Order ID],Table1[[Order Date]:[Profit Margin]],0,0,1)</f>
        <v>45793</v>
      </c>
      <c r="Q120" s="22" t="str">
        <v>Running Shoes</v>
      </c>
      <c r="R120" s="22" t="str">
        <v>Fashion</v>
      </c>
      <c r="S120" s="22" t="str">
        <v>East</v>
      </c>
      <c r="T120" s="22">
        <v>1</v>
      </c>
      <c r="U120" s="22">
        <v>2599</v>
      </c>
      <c r="V120" s="22">
        <v>1400</v>
      </c>
      <c r="W120" s="22" t="str">
        <v>Processing</v>
      </c>
      <c r="X120" s="22" t="str">
        <v>Debit Card</v>
      </c>
      <c r="Y120" s="22">
        <v>2599</v>
      </c>
      <c r="Z120" s="22">
        <v>1199</v>
      </c>
      <c r="AA120" s="43">
        <v>0.46133128126202383</v>
      </c>
      <c r="AB120" s="15"/>
    </row>
    <row r="121" spans="1:28" x14ac:dyDescent="0.3">
      <c r="A121" s="37" t="s">
        <v>220</v>
      </c>
      <c r="B121" s="38">
        <v>45795</v>
      </c>
      <c r="C121" s="37" t="s">
        <v>21</v>
      </c>
      <c r="D121" s="37" t="s">
        <v>22</v>
      </c>
      <c r="E121" s="37" t="s">
        <v>13</v>
      </c>
      <c r="F121" s="39">
        <v>4</v>
      </c>
      <c r="G121" s="39">
        <v>599</v>
      </c>
      <c r="H121" s="39">
        <v>350</v>
      </c>
      <c r="I121" s="37" t="s">
        <v>19</v>
      </c>
      <c r="J121" s="37" t="s">
        <v>34</v>
      </c>
      <c r="K121" s="40">
        <f>Table1[[#This Row],[Quantity]]*Table1[[#This Row],[Unit Price]]</f>
        <v>2396</v>
      </c>
      <c r="L121" s="39">
        <f>Table1[[#This Row],[Revenue]]-Table1[[#This Row],[Cost Price]]*Table1[[#This Row],[Quantity]]</f>
        <v>996</v>
      </c>
      <c r="M121" s="41">
        <f>IFERROR(Table1[[#This Row],[Profit]]/Table1[[#This Row],[Revenue]],"")</f>
        <v>0.41569282136894825</v>
      </c>
      <c r="N121" s="22"/>
      <c r="O121" s="49" t="s">
        <v>220</v>
      </c>
      <c r="P121" s="50" cm="1">
        <f t="array" ref="P121:AA121">_xlfn.XLOOKUP(O121,Table1[Order ID],Table1[[Order Date]:[Profit Margin]],0,0,1)</f>
        <v>45795</v>
      </c>
      <c r="Q121" s="37" t="str">
        <v>Cotton T-Shirt</v>
      </c>
      <c r="R121" s="37" t="str">
        <v>Fashion</v>
      </c>
      <c r="S121" s="37" t="str">
        <v>South</v>
      </c>
      <c r="T121" s="37">
        <v>4</v>
      </c>
      <c r="U121" s="37">
        <v>599</v>
      </c>
      <c r="V121" s="37">
        <v>350</v>
      </c>
      <c r="W121" s="37" t="str">
        <v>Delivered</v>
      </c>
      <c r="X121" s="37" t="str">
        <v>UPI</v>
      </c>
      <c r="Y121" s="37">
        <v>2396</v>
      </c>
      <c r="Z121" s="37">
        <v>996</v>
      </c>
      <c r="AA121" s="51">
        <v>0.41569282136894825</v>
      </c>
      <c r="AB121" s="15"/>
    </row>
    <row r="122" spans="1:28" x14ac:dyDescent="0.3">
      <c r="A122" s="22" t="s">
        <v>222</v>
      </c>
      <c r="B122" s="23">
        <v>45796</v>
      </c>
      <c r="C122" s="22" t="s">
        <v>74</v>
      </c>
      <c r="D122" s="22" t="s">
        <v>31</v>
      </c>
      <c r="E122" s="22" t="s">
        <v>32</v>
      </c>
      <c r="F122" s="24">
        <v>6</v>
      </c>
      <c r="G122" s="24">
        <v>1799</v>
      </c>
      <c r="H122" s="24">
        <v>1200</v>
      </c>
      <c r="I122" s="22" t="s">
        <v>24</v>
      </c>
      <c r="J122" s="22" t="s">
        <v>34</v>
      </c>
      <c r="K122" s="25">
        <f>Table1[[#This Row],[Quantity]]*Table1[[#This Row],[Unit Price]]</f>
        <v>10794</v>
      </c>
      <c r="L122" s="24">
        <f>Table1[[#This Row],[Revenue]]-Table1[[#This Row],[Cost Price]]*Table1[[#This Row],[Quantity]]</f>
        <v>3594</v>
      </c>
      <c r="M122" s="26">
        <f>IFERROR(Table1[[#This Row],[Profit]]/Table1[[#This Row],[Revenue]],"")</f>
        <v>0.33296275708727069</v>
      </c>
      <c r="N122" s="22"/>
      <c r="O122" s="42" t="s">
        <v>222</v>
      </c>
      <c r="P122" s="27" cm="1">
        <f t="array" ref="P122:AA122">_xlfn.XLOOKUP(O122,Table1[Order ID],Table1[[Order Date]:[Profit Margin]],0,0,1)</f>
        <v>45796</v>
      </c>
      <c r="Q122" s="22" t="str">
        <v>Boat Headphones</v>
      </c>
      <c r="R122" s="22" t="str">
        <v>Electronics</v>
      </c>
      <c r="S122" s="22" t="str">
        <v>North</v>
      </c>
      <c r="T122" s="22">
        <v>6</v>
      </c>
      <c r="U122" s="22">
        <v>1799</v>
      </c>
      <c r="V122" s="22">
        <v>1200</v>
      </c>
      <c r="W122" s="22" t="str">
        <v>Cancelled</v>
      </c>
      <c r="X122" s="22" t="str">
        <v>UPI</v>
      </c>
      <c r="Y122" s="22">
        <v>10794</v>
      </c>
      <c r="Z122" s="22">
        <v>3594</v>
      </c>
      <c r="AA122" s="43">
        <v>0.33296275708727069</v>
      </c>
      <c r="AB122" s="15"/>
    </row>
    <row r="123" spans="1:28" x14ac:dyDescent="0.3">
      <c r="A123" s="37" t="s">
        <v>239</v>
      </c>
      <c r="B123" s="38">
        <v>45796</v>
      </c>
      <c r="C123" s="37" t="s">
        <v>65</v>
      </c>
      <c r="D123" s="37" t="s">
        <v>12</v>
      </c>
      <c r="E123" s="37" t="s">
        <v>28</v>
      </c>
      <c r="F123" s="39">
        <v>6</v>
      </c>
      <c r="G123" s="39">
        <v>5299</v>
      </c>
      <c r="H123" s="39">
        <v>3800</v>
      </c>
      <c r="I123" s="37" t="s">
        <v>41</v>
      </c>
      <c r="J123" s="37" t="s">
        <v>52</v>
      </c>
      <c r="K123" s="40">
        <f>Table1[[#This Row],[Quantity]]*Table1[[#This Row],[Unit Price]]</f>
        <v>31794</v>
      </c>
      <c r="L123" s="39">
        <f>Table1[[#This Row],[Revenue]]-Table1[[#This Row],[Cost Price]]*Table1[[#This Row],[Quantity]]</f>
        <v>8994</v>
      </c>
      <c r="M123" s="41">
        <f>IFERROR(Table1[[#This Row],[Profit]]/Table1[[#This Row],[Revenue]],"")</f>
        <v>0.2828835629364031</v>
      </c>
      <c r="N123" s="22"/>
      <c r="O123" s="49" t="s">
        <v>239</v>
      </c>
      <c r="P123" s="50" cm="1">
        <f t="array" ref="P123:AA123">_xlfn.XLOOKUP(O123,Table1[Order ID],Table1[[Order Date]:[Profit Margin]],0,0,1)</f>
        <v>45796</v>
      </c>
      <c r="Q123" s="37" t="str">
        <v>Office Chair</v>
      </c>
      <c r="R123" s="37" t="str">
        <v>Furniture</v>
      </c>
      <c r="S123" s="37" t="str">
        <v>East</v>
      </c>
      <c r="T123" s="37">
        <v>6</v>
      </c>
      <c r="U123" s="37">
        <v>5299</v>
      </c>
      <c r="V123" s="37">
        <v>3800</v>
      </c>
      <c r="W123" s="37" t="str">
        <v>Processing</v>
      </c>
      <c r="X123" s="37" t="str">
        <v>Cash</v>
      </c>
      <c r="Y123" s="37">
        <v>31794</v>
      </c>
      <c r="Z123" s="37">
        <v>8994</v>
      </c>
      <c r="AA123" s="51">
        <v>0.2828835629364031</v>
      </c>
      <c r="AB123" s="15"/>
    </row>
    <row r="124" spans="1:28" x14ac:dyDescent="0.3">
      <c r="A124" s="22" t="s">
        <v>71</v>
      </c>
      <c r="B124" s="23">
        <v>45797</v>
      </c>
      <c r="C124" s="22" t="s">
        <v>49</v>
      </c>
      <c r="D124" s="22" t="s">
        <v>22</v>
      </c>
      <c r="E124" s="22" t="s">
        <v>28</v>
      </c>
      <c r="F124" s="24">
        <v>6</v>
      </c>
      <c r="G124" s="24">
        <v>2599</v>
      </c>
      <c r="H124" s="24">
        <v>1400</v>
      </c>
      <c r="I124" s="22" t="s">
        <v>41</v>
      </c>
      <c r="J124" s="22" t="s">
        <v>47</v>
      </c>
      <c r="K124" s="25">
        <f>Table1[[#This Row],[Quantity]]*Table1[[#This Row],[Unit Price]]</f>
        <v>15594</v>
      </c>
      <c r="L124" s="24">
        <f>Table1[[#This Row],[Revenue]]-Table1[[#This Row],[Cost Price]]*Table1[[#This Row],[Quantity]]</f>
        <v>7194</v>
      </c>
      <c r="M124" s="26">
        <f>IFERROR(Table1[[#This Row],[Profit]]/Table1[[#This Row],[Revenue]],"")</f>
        <v>0.46133128126202383</v>
      </c>
      <c r="N124" s="22"/>
      <c r="O124" s="42" t="s">
        <v>71</v>
      </c>
      <c r="P124" s="27" cm="1">
        <f t="array" ref="P124:AA124">_xlfn.XLOOKUP(O124,Table1[Order ID],Table1[[Order Date]:[Profit Margin]],0,0,1)</f>
        <v>45797</v>
      </c>
      <c r="Q124" s="22" t="str">
        <v>Running Shoes</v>
      </c>
      <c r="R124" s="22" t="str">
        <v>Fashion</v>
      </c>
      <c r="S124" s="22" t="str">
        <v>East</v>
      </c>
      <c r="T124" s="22">
        <v>6</v>
      </c>
      <c r="U124" s="22">
        <v>2599</v>
      </c>
      <c r="V124" s="22">
        <v>1400</v>
      </c>
      <c r="W124" s="22" t="str">
        <v>Processing</v>
      </c>
      <c r="X124" s="22" t="str">
        <v>Debit Card</v>
      </c>
      <c r="Y124" s="22">
        <v>15594</v>
      </c>
      <c r="Z124" s="22">
        <v>7194</v>
      </c>
      <c r="AA124" s="43">
        <v>0.46133128126202383</v>
      </c>
      <c r="AB124" s="15"/>
    </row>
    <row r="125" spans="1:28" x14ac:dyDescent="0.3">
      <c r="A125" s="37" t="s">
        <v>174</v>
      </c>
      <c r="B125" s="38">
        <v>45797</v>
      </c>
      <c r="C125" s="37" t="s">
        <v>91</v>
      </c>
      <c r="D125" s="37" t="s">
        <v>38</v>
      </c>
      <c r="E125" s="37" t="s">
        <v>32</v>
      </c>
      <c r="F125" s="39">
        <v>4</v>
      </c>
      <c r="G125" s="39">
        <v>1099</v>
      </c>
      <c r="H125" s="39">
        <v>500</v>
      </c>
      <c r="I125" s="37" t="s">
        <v>19</v>
      </c>
      <c r="J125" s="37" t="s">
        <v>26</v>
      </c>
      <c r="K125" s="40">
        <f>Table1[[#This Row],[Quantity]]*Table1[[#This Row],[Unit Price]]</f>
        <v>4396</v>
      </c>
      <c r="L125" s="39">
        <f>Table1[[#This Row],[Revenue]]-Table1[[#This Row],[Cost Price]]*Table1[[#This Row],[Quantity]]</f>
        <v>2396</v>
      </c>
      <c r="M125" s="41">
        <f>IFERROR(Table1[[#This Row],[Profit]]/Table1[[#This Row],[Revenue]],"")</f>
        <v>0.54504094631483169</v>
      </c>
      <c r="N125" s="22"/>
      <c r="O125" s="49" t="s">
        <v>174</v>
      </c>
      <c r="P125" s="50" cm="1">
        <f t="array" ref="P125:AA125">_xlfn.XLOOKUP(O125,Table1[Order ID],Table1[[Order Date]:[Profit Margin]],0,0,1)</f>
        <v>45797</v>
      </c>
      <c r="Q125" s="37" t="str">
        <v>LED Desk Lamp</v>
      </c>
      <c r="R125" s="37" t="str">
        <v>Home Decor</v>
      </c>
      <c r="S125" s="37" t="str">
        <v>North</v>
      </c>
      <c r="T125" s="37">
        <v>4</v>
      </c>
      <c r="U125" s="37">
        <v>1099</v>
      </c>
      <c r="V125" s="37">
        <v>500</v>
      </c>
      <c r="W125" s="37" t="str">
        <v>Delivered</v>
      </c>
      <c r="X125" s="37" t="str">
        <v>Credit Card</v>
      </c>
      <c r="Y125" s="37">
        <v>4396</v>
      </c>
      <c r="Z125" s="37">
        <v>2396</v>
      </c>
      <c r="AA125" s="51">
        <v>0.54504094631483169</v>
      </c>
      <c r="AB125" s="15"/>
    </row>
    <row r="126" spans="1:28" x14ac:dyDescent="0.3">
      <c r="A126" s="22" t="s">
        <v>189</v>
      </c>
      <c r="B126" s="23">
        <v>45798</v>
      </c>
      <c r="C126" s="22" t="s">
        <v>91</v>
      </c>
      <c r="D126" s="22" t="s">
        <v>38</v>
      </c>
      <c r="E126" s="22" t="s">
        <v>32</v>
      </c>
      <c r="F126" s="24">
        <v>1</v>
      </c>
      <c r="G126" s="24">
        <v>1099</v>
      </c>
      <c r="H126" s="24">
        <v>500</v>
      </c>
      <c r="I126" s="22" t="s">
        <v>19</v>
      </c>
      <c r="J126" s="22" t="s">
        <v>55</v>
      </c>
      <c r="K126" s="25">
        <f>Table1[[#This Row],[Quantity]]*Table1[[#This Row],[Unit Price]]</f>
        <v>1099</v>
      </c>
      <c r="L126" s="24">
        <f>Table1[[#This Row],[Revenue]]-Table1[[#This Row],[Cost Price]]*Table1[[#This Row],[Quantity]]</f>
        <v>599</v>
      </c>
      <c r="M126" s="26">
        <f>IFERROR(Table1[[#This Row],[Profit]]/Table1[[#This Row],[Revenue]],"")</f>
        <v>0.54504094631483169</v>
      </c>
      <c r="N126" s="22"/>
      <c r="O126" s="42" t="s">
        <v>189</v>
      </c>
      <c r="P126" s="27" cm="1">
        <f t="array" ref="P126:AA126">_xlfn.XLOOKUP(O126,Table1[Order ID],Table1[[Order Date]:[Profit Margin]],0,0,1)</f>
        <v>45798</v>
      </c>
      <c r="Q126" s="22" t="str">
        <v>LED Desk Lamp</v>
      </c>
      <c r="R126" s="22" t="str">
        <v>Home Decor</v>
      </c>
      <c r="S126" s="22" t="str">
        <v>North</v>
      </c>
      <c r="T126" s="22">
        <v>1</v>
      </c>
      <c r="U126" s="22">
        <v>1099</v>
      </c>
      <c r="V126" s="22">
        <v>500</v>
      </c>
      <c r="W126" s="22" t="str">
        <v>Delivered</v>
      </c>
      <c r="X126" s="22" t="str">
        <v>Net Banking</v>
      </c>
      <c r="Y126" s="22">
        <v>1099</v>
      </c>
      <c r="Z126" s="22">
        <v>599</v>
      </c>
      <c r="AA126" s="43">
        <v>0.54504094631483169</v>
      </c>
      <c r="AB126" s="15"/>
    </row>
    <row r="127" spans="1:28" x14ac:dyDescent="0.3">
      <c r="A127" s="37" t="s">
        <v>56</v>
      </c>
      <c r="B127" s="38">
        <v>45800</v>
      </c>
      <c r="C127" s="37" t="s">
        <v>57</v>
      </c>
      <c r="D127" s="37" t="s">
        <v>17</v>
      </c>
      <c r="E127" s="37" t="s">
        <v>13</v>
      </c>
      <c r="F127" s="39">
        <v>2</v>
      </c>
      <c r="G127" s="39">
        <v>9199</v>
      </c>
      <c r="H127" s="39">
        <v>7000</v>
      </c>
      <c r="I127" s="37" t="s">
        <v>33</v>
      </c>
      <c r="J127" s="37" t="s">
        <v>47</v>
      </c>
      <c r="K127" s="40">
        <f>Table1[[#This Row],[Quantity]]*Table1[[#This Row],[Unit Price]]</f>
        <v>18398</v>
      </c>
      <c r="L127" s="39">
        <f>Table1[[#This Row],[Revenue]]-Table1[[#This Row],[Cost Price]]*Table1[[#This Row],[Quantity]]</f>
        <v>4398</v>
      </c>
      <c r="M127" s="41">
        <f>IFERROR(Table1[[#This Row],[Profit]]/Table1[[#This Row],[Revenue]],"")</f>
        <v>0.23904772257854115</v>
      </c>
      <c r="N127" s="22"/>
      <c r="O127" s="49" t="s">
        <v>56</v>
      </c>
      <c r="P127" s="50" cm="1">
        <f t="array" ref="P127:AA127">_xlfn.XLOOKUP(O127,Table1[Order ID],Table1[[Order Date]:[Profit Margin]],0,0,1)</f>
        <v>45800</v>
      </c>
      <c r="Q127" s="37" t="str">
        <v>Water Purifier</v>
      </c>
      <c r="R127" s="37" t="str">
        <v>Appliances</v>
      </c>
      <c r="S127" s="37" t="str">
        <v>South</v>
      </c>
      <c r="T127" s="37">
        <v>2</v>
      </c>
      <c r="U127" s="37">
        <v>9199</v>
      </c>
      <c r="V127" s="37">
        <v>7000</v>
      </c>
      <c r="W127" s="37" t="str">
        <v>Shipped</v>
      </c>
      <c r="X127" s="37" t="str">
        <v>Debit Card</v>
      </c>
      <c r="Y127" s="37">
        <v>18398</v>
      </c>
      <c r="Z127" s="37">
        <v>4398</v>
      </c>
      <c r="AA127" s="51">
        <v>0.23904772257854115</v>
      </c>
      <c r="AB127" s="15"/>
    </row>
    <row r="128" spans="1:28" x14ac:dyDescent="0.3">
      <c r="A128" s="22" t="s">
        <v>102</v>
      </c>
      <c r="B128" s="23">
        <v>45800</v>
      </c>
      <c r="C128" s="22" t="s">
        <v>74</v>
      </c>
      <c r="D128" s="22" t="s">
        <v>31</v>
      </c>
      <c r="E128" s="22" t="s">
        <v>18</v>
      </c>
      <c r="F128" s="24">
        <v>6</v>
      </c>
      <c r="G128" s="24">
        <v>1999</v>
      </c>
      <c r="H128" s="24">
        <v>1200</v>
      </c>
      <c r="I128" s="22" t="s">
        <v>14</v>
      </c>
      <c r="J128" s="22" t="s">
        <v>55</v>
      </c>
      <c r="K128" s="25">
        <f>Table1[[#This Row],[Quantity]]*Table1[[#This Row],[Unit Price]]</f>
        <v>11994</v>
      </c>
      <c r="L128" s="24">
        <f>Table1[[#This Row],[Revenue]]-Table1[[#This Row],[Cost Price]]*Table1[[#This Row],[Quantity]]</f>
        <v>4794</v>
      </c>
      <c r="M128" s="26">
        <f>IFERROR(Table1[[#This Row],[Profit]]/Table1[[#This Row],[Revenue]],"")</f>
        <v>0.39969984992496249</v>
      </c>
      <c r="N128" s="22"/>
      <c r="O128" s="42" t="s">
        <v>102</v>
      </c>
      <c r="P128" s="27" cm="1">
        <f t="array" ref="P128:AA128">_xlfn.XLOOKUP(O128,Table1[Order ID],Table1[[Order Date]:[Profit Margin]],0,0,1)</f>
        <v>45800</v>
      </c>
      <c r="Q128" s="22" t="str">
        <v>Boat Headphones</v>
      </c>
      <c r="R128" s="22" t="str">
        <v>Electronics</v>
      </c>
      <c r="S128" s="22" t="str">
        <v>Central</v>
      </c>
      <c r="T128" s="22">
        <v>6</v>
      </c>
      <c r="U128" s="22">
        <v>1999</v>
      </c>
      <c r="V128" s="22">
        <v>1200</v>
      </c>
      <c r="W128" s="22" t="str">
        <v>Returned</v>
      </c>
      <c r="X128" s="22" t="str">
        <v>Net Banking</v>
      </c>
      <c r="Y128" s="22">
        <v>11994</v>
      </c>
      <c r="Z128" s="22">
        <v>4794</v>
      </c>
      <c r="AA128" s="43">
        <v>0.39969984992496249</v>
      </c>
      <c r="AB128" s="15"/>
    </row>
    <row r="129" spans="1:28" x14ac:dyDescent="0.3">
      <c r="A129" s="37" t="s">
        <v>90</v>
      </c>
      <c r="B129" s="38">
        <v>45801</v>
      </c>
      <c r="C129" s="37" t="s">
        <v>91</v>
      </c>
      <c r="D129" s="37" t="s">
        <v>38</v>
      </c>
      <c r="E129" s="37" t="s">
        <v>28</v>
      </c>
      <c r="F129" s="39">
        <v>1</v>
      </c>
      <c r="G129" s="39">
        <v>699</v>
      </c>
      <c r="H129" s="39">
        <v>500</v>
      </c>
      <c r="I129" s="37" t="s">
        <v>19</v>
      </c>
      <c r="J129" s="37" t="s">
        <v>34</v>
      </c>
      <c r="K129" s="40">
        <f>Table1[[#This Row],[Quantity]]*Table1[[#This Row],[Unit Price]]</f>
        <v>699</v>
      </c>
      <c r="L129" s="39">
        <f>Table1[[#This Row],[Revenue]]-Table1[[#This Row],[Cost Price]]*Table1[[#This Row],[Quantity]]</f>
        <v>199</v>
      </c>
      <c r="M129" s="41">
        <f>IFERROR(Table1[[#This Row],[Profit]]/Table1[[#This Row],[Revenue]],"")</f>
        <v>0.28469241773962806</v>
      </c>
      <c r="N129" s="22"/>
      <c r="O129" s="49" t="s">
        <v>90</v>
      </c>
      <c r="P129" s="50" cm="1">
        <f t="array" ref="P129:AA129">_xlfn.XLOOKUP(O129,Table1[Order ID],Table1[[Order Date]:[Profit Margin]],0,0,1)</f>
        <v>45801</v>
      </c>
      <c r="Q129" s="37" t="str">
        <v>LED Desk Lamp</v>
      </c>
      <c r="R129" s="37" t="str">
        <v>Home Decor</v>
      </c>
      <c r="S129" s="37" t="str">
        <v>East</v>
      </c>
      <c r="T129" s="37">
        <v>1</v>
      </c>
      <c r="U129" s="37">
        <v>699</v>
      </c>
      <c r="V129" s="37">
        <v>500</v>
      </c>
      <c r="W129" s="37" t="str">
        <v>Delivered</v>
      </c>
      <c r="X129" s="37" t="str">
        <v>UPI</v>
      </c>
      <c r="Y129" s="37">
        <v>699</v>
      </c>
      <c r="Z129" s="37">
        <v>199</v>
      </c>
      <c r="AA129" s="51">
        <v>0.28469241773962806</v>
      </c>
      <c r="AB129" s="15"/>
    </row>
    <row r="130" spans="1:28" x14ac:dyDescent="0.3">
      <c r="A130" s="22" t="s">
        <v>151</v>
      </c>
      <c r="B130" s="23">
        <v>45801</v>
      </c>
      <c r="C130" s="22" t="s">
        <v>30</v>
      </c>
      <c r="D130" s="22" t="s">
        <v>31</v>
      </c>
      <c r="E130" s="22" t="s">
        <v>18</v>
      </c>
      <c r="F130" s="24">
        <v>1</v>
      </c>
      <c r="G130" s="24">
        <v>15899</v>
      </c>
      <c r="H130" s="24">
        <v>13500</v>
      </c>
      <c r="I130" s="22" t="s">
        <v>19</v>
      </c>
      <c r="J130" s="22" t="s">
        <v>34</v>
      </c>
      <c r="K130" s="25">
        <f>Table1[[#This Row],[Quantity]]*Table1[[#This Row],[Unit Price]]</f>
        <v>15899</v>
      </c>
      <c r="L130" s="24">
        <f>Table1[[#This Row],[Revenue]]-Table1[[#This Row],[Cost Price]]*Table1[[#This Row],[Quantity]]</f>
        <v>2399</v>
      </c>
      <c r="M130" s="26">
        <f>IFERROR(Table1[[#This Row],[Profit]]/Table1[[#This Row],[Revenue]],"")</f>
        <v>0.15088999308132586</v>
      </c>
      <c r="N130" s="22"/>
      <c r="O130" s="42" t="s">
        <v>151</v>
      </c>
      <c r="P130" s="27" cm="1">
        <f t="array" ref="P130:AA130">_xlfn.XLOOKUP(O130,Table1[Order ID],Table1[[Order Date]:[Profit Margin]],0,0,1)</f>
        <v>45801</v>
      </c>
      <c r="Q130" s="22" t="str">
        <v>Redmi Note 13</v>
      </c>
      <c r="R130" s="22" t="str">
        <v>Electronics</v>
      </c>
      <c r="S130" s="22" t="str">
        <v>Central</v>
      </c>
      <c r="T130" s="22">
        <v>1</v>
      </c>
      <c r="U130" s="22">
        <v>15899</v>
      </c>
      <c r="V130" s="22">
        <v>13500</v>
      </c>
      <c r="W130" s="22" t="str">
        <v>Delivered</v>
      </c>
      <c r="X130" s="22" t="str">
        <v>UPI</v>
      </c>
      <c r="Y130" s="22">
        <v>15899</v>
      </c>
      <c r="Z130" s="22">
        <v>2399</v>
      </c>
      <c r="AA130" s="43">
        <v>0.15088999308132586</v>
      </c>
      <c r="AB130" s="15"/>
    </row>
    <row r="131" spans="1:28" x14ac:dyDescent="0.3">
      <c r="A131" s="37" t="s">
        <v>96</v>
      </c>
      <c r="B131" s="38">
        <v>45803</v>
      </c>
      <c r="C131" s="37" t="s">
        <v>57</v>
      </c>
      <c r="D131" s="37" t="s">
        <v>17</v>
      </c>
      <c r="E131" s="37" t="s">
        <v>18</v>
      </c>
      <c r="F131" s="39">
        <v>8</v>
      </c>
      <c r="G131" s="39">
        <v>8899</v>
      </c>
      <c r="H131" s="39">
        <v>7000</v>
      </c>
      <c r="I131" s="37" t="s">
        <v>14</v>
      </c>
      <c r="J131" s="37" t="s">
        <v>26</v>
      </c>
      <c r="K131" s="40">
        <f>Table1[[#This Row],[Quantity]]*Table1[[#This Row],[Unit Price]]</f>
        <v>71192</v>
      </c>
      <c r="L131" s="39">
        <f>Table1[[#This Row],[Revenue]]-Table1[[#This Row],[Cost Price]]*Table1[[#This Row],[Quantity]]</f>
        <v>15192</v>
      </c>
      <c r="M131" s="41">
        <f>IFERROR(Table1[[#This Row],[Profit]]/Table1[[#This Row],[Revenue]],"")</f>
        <v>0.21339476345656816</v>
      </c>
      <c r="N131" s="22"/>
      <c r="O131" s="49" t="s">
        <v>96</v>
      </c>
      <c r="P131" s="50" cm="1">
        <f t="array" ref="P131:AA131">_xlfn.XLOOKUP(O131,Table1[Order ID],Table1[[Order Date]:[Profit Margin]],0,0,1)</f>
        <v>45803</v>
      </c>
      <c r="Q131" s="37" t="str">
        <v>Water Purifier</v>
      </c>
      <c r="R131" s="37" t="str">
        <v>Appliances</v>
      </c>
      <c r="S131" s="37" t="str">
        <v>Central</v>
      </c>
      <c r="T131" s="37">
        <v>8</v>
      </c>
      <c r="U131" s="37">
        <v>8899</v>
      </c>
      <c r="V131" s="37">
        <v>7000</v>
      </c>
      <c r="W131" s="37" t="str">
        <v>Returned</v>
      </c>
      <c r="X131" s="37" t="str">
        <v>Credit Card</v>
      </c>
      <c r="Y131" s="37">
        <v>71192</v>
      </c>
      <c r="Z131" s="37">
        <v>15192</v>
      </c>
      <c r="AA131" s="51">
        <v>0.21339476345656816</v>
      </c>
      <c r="AB131" s="15"/>
    </row>
    <row r="132" spans="1:28" x14ac:dyDescent="0.3">
      <c r="A132" s="22" t="s">
        <v>187</v>
      </c>
      <c r="B132" s="23">
        <v>45803</v>
      </c>
      <c r="C132" s="22" t="s">
        <v>21</v>
      </c>
      <c r="D132" s="22" t="s">
        <v>22</v>
      </c>
      <c r="E132" s="22" t="s">
        <v>23</v>
      </c>
      <c r="F132" s="24">
        <v>4</v>
      </c>
      <c r="G132" s="24">
        <v>599</v>
      </c>
      <c r="H132" s="24">
        <v>350</v>
      </c>
      <c r="I132" s="22" t="s">
        <v>24</v>
      </c>
      <c r="J132" s="22" t="s">
        <v>26</v>
      </c>
      <c r="K132" s="25">
        <f>Table1[[#This Row],[Quantity]]*Table1[[#This Row],[Unit Price]]</f>
        <v>2396</v>
      </c>
      <c r="L132" s="24">
        <f>Table1[[#This Row],[Revenue]]-Table1[[#This Row],[Cost Price]]*Table1[[#This Row],[Quantity]]</f>
        <v>996</v>
      </c>
      <c r="M132" s="26">
        <f>IFERROR(Table1[[#This Row],[Profit]]/Table1[[#This Row],[Revenue]],"")</f>
        <v>0.41569282136894825</v>
      </c>
      <c r="N132" s="22"/>
      <c r="O132" s="42" t="s">
        <v>187</v>
      </c>
      <c r="P132" s="27" cm="1">
        <f t="array" ref="P132:AA132">_xlfn.XLOOKUP(O132,Table1[Order ID],Table1[[Order Date]:[Profit Margin]],0,0,1)</f>
        <v>45803</v>
      </c>
      <c r="Q132" s="22" t="str">
        <v>Cotton T-Shirt</v>
      </c>
      <c r="R132" s="22" t="str">
        <v>Fashion</v>
      </c>
      <c r="S132" s="22" t="str">
        <v>West</v>
      </c>
      <c r="T132" s="22">
        <v>4</v>
      </c>
      <c r="U132" s="22">
        <v>599</v>
      </c>
      <c r="V132" s="22">
        <v>350</v>
      </c>
      <c r="W132" s="22" t="str">
        <v>Cancelled</v>
      </c>
      <c r="X132" s="22" t="str">
        <v>Credit Card</v>
      </c>
      <c r="Y132" s="22">
        <v>2396</v>
      </c>
      <c r="Z132" s="22">
        <v>996</v>
      </c>
      <c r="AA132" s="43">
        <v>0.41569282136894825</v>
      </c>
      <c r="AB132" s="15"/>
    </row>
    <row r="133" spans="1:28" x14ac:dyDescent="0.3">
      <c r="A133" s="37" t="s">
        <v>261</v>
      </c>
      <c r="B133" s="38">
        <v>45804</v>
      </c>
      <c r="C133" s="37" t="s">
        <v>44</v>
      </c>
      <c r="D133" s="37" t="s">
        <v>31</v>
      </c>
      <c r="E133" s="37" t="s">
        <v>13</v>
      </c>
      <c r="F133" s="39">
        <v>8</v>
      </c>
      <c r="G133" s="39">
        <v>13099</v>
      </c>
      <c r="H133" s="39">
        <v>10800</v>
      </c>
      <c r="I133" s="37" t="s">
        <v>19</v>
      </c>
      <c r="J133" s="37" t="s">
        <v>52</v>
      </c>
      <c r="K133" s="40">
        <f>Table1[[#This Row],[Quantity]]*Table1[[#This Row],[Unit Price]]</f>
        <v>104792</v>
      </c>
      <c r="L133" s="39">
        <f>Table1[[#This Row],[Revenue]]-Table1[[#This Row],[Cost Price]]*Table1[[#This Row],[Quantity]]</f>
        <v>18392</v>
      </c>
      <c r="M133" s="41">
        <f>IFERROR(Table1[[#This Row],[Profit]]/Table1[[#This Row],[Revenue]],"")</f>
        <v>0.17550958088403695</v>
      </c>
      <c r="N133" s="22"/>
      <c r="O133" s="49" t="s">
        <v>261</v>
      </c>
      <c r="P133" s="50" cm="1">
        <f t="array" ref="P133:AA133">_xlfn.XLOOKUP(O133,Table1[Order ID],Table1[[Order Date]:[Profit Margin]],0,0,1)</f>
        <v>45804</v>
      </c>
      <c r="Q133" s="37" t="str">
        <v>Samsung Galaxy M14</v>
      </c>
      <c r="R133" s="37" t="str">
        <v>Electronics</v>
      </c>
      <c r="S133" s="37" t="str">
        <v>South</v>
      </c>
      <c r="T133" s="37">
        <v>8</v>
      </c>
      <c r="U133" s="37">
        <v>13099</v>
      </c>
      <c r="V133" s="37">
        <v>10800</v>
      </c>
      <c r="W133" s="37" t="str">
        <v>Delivered</v>
      </c>
      <c r="X133" s="37" t="str">
        <v>Cash</v>
      </c>
      <c r="Y133" s="37">
        <v>104792</v>
      </c>
      <c r="Z133" s="37">
        <v>18392</v>
      </c>
      <c r="AA133" s="51">
        <v>0.17550958088403695</v>
      </c>
      <c r="AB133" s="15"/>
    </row>
    <row r="134" spans="1:28" x14ac:dyDescent="0.3">
      <c r="A134" s="22" t="s">
        <v>317</v>
      </c>
      <c r="B134" s="23">
        <v>45805</v>
      </c>
      <c r="C134" s="22" t="s">
        <v>74</v>
      </c>
      <c r="D134" s="22" t="s">
        <v>31</v>
      </c>
      <c r="E134" s="22" t="s">
        <v>13</v>
      </c>
      <c r="F134" s="24">
        <v>4</v>
      </c>
      <c r="G134" s="24">
        <v>1999</v>
      </c>
      <c r="H134" s="24">
        <v>1200</v>
      </c>
      <c r="I134" s="22" t="s">
        <v>41</v>
      </c>
      <c r="J134" s="22" t="s">
        <v>26</v>
      </c>
      <c r="K134" s="25">
        <f>Table1[[#This Row],[Quantity]]*Table1[[#This Row],[Unit Price]]</f>
        <v>7996</v>
      </c>
      <c r="L134" s="24">
        <f>Table1[[#This Row],[Revenue]]-Table1[[#This Row],[Cost Price]]*Table1[[#This Row],[Quantity]]</f>
        <v>3196</v>
      </c>
      <c r="M134" s="26">
        <f>IFERROR(Table1[[#This Row],[Profit]]/Table1[[#This Row],[Revenue]],"")</f>
        <v>0.39969984992496249</v>
      </c>
      <c r="N134" s="22"/>
      <c r="O134" s="42" t="s">
        <v>317</v>
      </c>
      <c r="P134" s="27" cm="1">
        <f t="array" ref="P134:AA134">_xlfn.XLOOKUP(O134,Table1[Order ID],Table1[[Order Date]:[Profit Margin]],0,0,1)</f>
        <v>45805</v>
      </c>
      <c r="Q134" s="22" t="str">
        <v>Boat Headphones</v>
      </c>
      <c r="R134" s="22" t="str">
        <v>Electronics</v>
      </c>
      <c r="S134" s="22" t="str">
        <v>South</v>
      </c>
      <c r="T134" s="22">
        <v>4</v>
      </c>
      <c r="U134" s="22">
        <v>1999</v>
      </c>
      <c r="V134" s="22">
        <v>1200</v>
      </c>
      <c r="W134" s="22" t="str">
        <v>Processing</v>
      </c>
      <c r="X134" s="22" t="str">
        <v>Credit Card</v>
      </c>
      <c r="Y134" s="22">
        <v>7996</v>
      </c>
      <c r="Z134" s="22">
        <v>3196</v>
      </c>
      <c r="AA134" s="43">
        <v>0.39969984992496249</v>
      </c>
      <c r="AB134" s="15"/>
    </row>
    <row r="135" spans="1:28" x14ac:dyDescent="0.3">
      <c r="A135" s="37" t="s">
        <v>204</v>
      </c>
      <c r="B135" s="38">
        <v>45806</v>
      </c>
      <c r="C135" s="37" t="s">
        <v>49</v>
      </c>
      <c r="D135" s="37" t="s">
        <v>22</v>
      </c>
      <c r="E135" s="37" t="s">
        <v>28</v>
      </c>
      <c r="F135" s="39">
        <v>6</v>
      </c>
      <c r="G135" s="39">
        <v>2299</v>
      </c>
      <c r="H135" s="39">
        <v>1400</v>
      </c>
      <c r="I135" s="37" t="s">
        <v>41</v>
      </c>
      <c r="J135" s="37" t="s">
        <v>52</v>
      </c>
      <c r="K135" s="40">
        <f>Table1[[#This Row],[Quantity]]*Table1[[#This Row],[Unit Price]]</f>
        <v>13794</v>
      </c>
      <c r="L135" s="39">
        <f>Table1[[#This Row],[Revenue]]-Table1[[#This Row],[Cost Price]]*Table1[[#This Row],[Quantity]]</f>
        <v>5394</v>
      </c>
      <c r="M135" s="41">
        <f>IFERROR(Table1[[#This Row],[Profit]]/Table1[[#This Row],[Revenue]],"")</f>
        <v>0.39103958242714226</v>
      </c>
      <c r="N135" s="22"/>
      <c r="O135" s="49" t="s">
        <v>204</v>
      </c>
      <c r="P135" s="50" cm="1">
        <f t="array" ref="P135:AA135">_xlfn.XLOOKUP(O135,Table1[Order ID],Table1[[Order Date]:[Profit Margin]],0,0,1)</f>
        <v>45806</v>
      </c>
      <c r="Q135" s="37" t="str">
        <v>Running Shoes</v>
      </c>
      <c r="R135" s="37" t="str">
        <v>Fashion</v>
      </c>
      <c r="S135" s="37" t="str">
        <v>East</v>
      </c>
      <c r="T135" s="37">
        <v>6</v>
      </c>
      <c r="U135" s="37">
        <v>2299</v>
      </c>
      <c r="V135" s="37">
        <v>1400</v>
      </c>
      <c r="W135" s="37" t="str">
        <v>Processing</v>
      </c>
      <c r="X135" s="37" t="str">
        <v>Cash</v>
      </c>
      <c r="Y135" s="37">
        <v>13794</v>
      </c>
      <c r="Z135" s="37">
        <v>5394</v>
      </c>
      <c r="AA135" s="51">
        <v>0.39103958242714226</v>
      </c>
      <c r="AB135" s="15"/>
    </row>
    <row r="136" spans="1:28" x14ac:dyDescent="0.3">
      <c r="A136" s="22" t="s">
        <v>180</v>
      </c>
      <c r="B136" s="23">
        <v>45810</v>
      </c>
      <c r="C136" s="22" t="s">
        <v>21</v>
      </c>
      <c r="D136" s="22" t="s">
        <v>22</v>
      </c>
      <c r="E136" s="22" t="s">
        <v>23</v>
      </c>
      <c r="F136" s="24">
        <v>4</v>
      </c>
      <c r="G136" s="24">
        <v>699</v>
      </c>
      <c r="H136" s="24">
        <v>350</v>
      </c>
      <c r="I136" s="22" t="s">
        <v>41</v>
      </c>
      <c r="J136" s="22" t="s">
        <v>47</v>
      </c>
      <c r="K136" s="25">
        <f>Table1[[#This Row],[Quantity]]*Table1[[#This Row],[Unit Price]]</f>
        <v>2796</v>
      </c>
      <c r="L136" s="24">
        <f>Table1[[#This Row],[Revenue]]-Table1[[#This Row],[Cost Price]]*Table1[[#This Row],[Quantity]]</f>
        <v>1396</v>
      </c>
      <c r="M136" s="26">
        <f>IFERROR(Table1[[#This Row],[Profit]]/Table1[[#This Row],[Revenue]],"")</f>
        <v>0.49928469241773965</v>
      </c>
      <c r="N136" s="22"/>
      <c r="O136" s="42" t="s">
        <v>180</v>
      </c>
      <c r="P136" s="27" cm="1">
        <f t="array" ref="P136:AA136">_xlfn.XLOOKUP(O136,Table1[Order ID],Table1[[Order Date]:[Profit Margin]],0,0,1)</f>
        <v>45810</v>
      </c>
      <c r="Q136" s="22" t="str">
        <v>Cotton T-Shirt</v>
      </c>
      <c r="R136" s="22" t="str">
        <v>Fashion</v>
      </c>
      <c r="S136" s="22" t="str">
        <v>West</v>
      </c>
      <c r="T136" s="22">
        <v>4</v>
      </c>
      <c r="U136" s="22">
        <v>699</v>
      </c>
      <c r="V136" s="22">
        <v>350</v>
      </c>
      <c r="W136" s="22" t="str">
        <v>Processing</v>
      </c>
      <c r="X136" s="22" t="str">
        <v>Debit Card</v>
      </c>
      <c r="Y136" s="22">
        <v>2796</v>
      </c>
      <c r="Z136" s="22">
        <v>1396</v>
      </c>
      <c r="AA136" s="43">
        <v>0.49928469241773965</v>
      </c>
      <c r="AB136" s="15"/>
    </row>
    <row r="137" spans="1:28" x14ac:dyDescent="0.3">
      <c r="A137" s="37" t="s">
        <v>267</v>
      </c>
      <c r="B137" s="38">
        <v>45811</v>
      </c>
      <c r="C137" s="37" t="s">
        <v>51</v>
      </c>
      <c r="D137" s="37" t="s">
        <v>31</v>
      </c>
      <c r="E137" s="37" t="s">
        <v>13</v>
      </c>
      <c r="F137" s="39">
        <v>5</v>
      </c>
      <c r="G137" s="39">
        <v>2799</v>
      </c>
      <c r="H137" s="39">
        <v>1800</v>
      </c>
      <c r="I137" s="37" t="s">
        <v>24</v>
      </c>
      <c r="J137" s="37" t="s">
        <v>34</v>
      </c>
      <c r="K137" s="40">
        <f>Table1[[#This Row],[Quantity]]*Table1[[#This Row],[Unit Price]]</f>
        <v>13995</v>
      </c>
      <c r="L137" s="39">
        <f>Table1[[#This Row],[Revenue]]-Table1[[#This Row],[Cost Price]]*Table1[[#This Row],[Quantity]]</f>
        <v>4995</v>
      </c>
      <c r="M137" s="41">
        <f>IFERROR(Table1[[#This Row],[Profit]]/Table1[[#This Row],[Revenue]],"")</f>
        <v>0.35691318327974275</v>
      </c>
      <c r="N137" s="22"/>
      <c r="O137" s="49" t="s">
        <v>267</v>
      </c>
      <c r="P137" s="50" cm="1">
        <f t="array" ref="P137:AA137">_xlfn.XLOOKUP(O137,Table1[Order ID],Table1[[Order Date]:[Profit Margin]],0,0,1)</f>
        <v>45811</v>
      </c>
      <c r="Q137" s="37" t="str">
        <v>Bluetooth Speaker</v>
      </c>
      <c r="R137" s="37" t="str">
        <v>Electronics</v>
      </c>
      <c r="S137" s="37" t="str">
        <v>South</v>
      </c>
      <c r="T137" s="37">
        <v>5</v>
      </c>
      <c r="U137" s="37">
        <v>2799</v>
      </c>
      <c r="V137" s="37">
        <v>1800</v>
      </c>
      <c r="W137" s="37" t="str">
        <v>Cancelled</v>
      </c>
      <c r="X137" s="37" t="str">
        <v>UPI</v>
      </c>
      <c r="Y137" s="37">
        <v>13995</v>
      </c>
      <c r="Z137" s="37">
        <v>4995</v>
      </c>
      <c r="AA137" s="51">
        <v>0.35691318327974275</v>
      </c>
      <c r="AB137" s="15"/>
    </row>
    <row r="138" spans="1:28" x14ac:dyDescent="0.3">
      <c r="A138" s="22" t="s">
        <v>63</v>
      </c>
      <c r="B138" s="23">
        <v>45814</v>
      </c>
      <c r="C138" s="22" t="s">
        <v>57</v>
      </c>
      <c r="D138" s="22" t="s">
        <v>17</v>
      </c>
      <c r="E138" s="22" t="s">
        <v>23</v>
      </c>
      <c r="F138" s="24">
        <v>6</v>
      </c>
      <c r="G138" s="24">
        <v>8799</v>
      </c>
      <c r="H138" s="24">
        <v>7000</v>
      </c>
      <c r="I138" s="22" t="s">
        <v>19</v>
      </c>
      <c r="J138" s="22" t="s">
        <v>52</v>
      </c>
      <c r="K138" s="25">
        <f>Table1[[#This Row],[Quantity]]*Table1[[#This Row],[Unit Price]]</f>
        <v>52794</v>
      </c>
      <c r="L138" s="24">
        <f>Table1[[#This Row],[Revenue]]-Table1[[#This Row],[Cost Price]]*Table1[[#This Row],[Quantity]]</f>
        <v>10794</v>
      </c>
      <c r="M138" s="26">
        <f>IFERROR(Table1[[#This Row],[Profit]]/Table1[[#This Row],[Revenue]],"")</f>
        <v>0.20445505171042164</v>
      </c>
      <c r="N138" s="22"/>
      <c r="O138" s="42" t="s">
        <v>63</v>
      </c>
      <c r="P138" s="27" cm="1">
        <f t="array" ref="P138:AA138">_xlfn.XLOOKUP(O138,Table1[Order ID],Table1[[Order Date]:[Profit Margin]],0,0,1)</f>
        <v>45814</v>
      </c>
      <c r="Q138" s="22" t="str">
        <v>Water Purifier</v>
      </c>
      <c r="R138" s="22" t="str">
        <v>Appliances</v>
      </c>
      <c r="S138" s="22" t="str">
        <v>West</v>
      </c>
      <c r="T138" s="22">
        <v>6</v>
      </c>
      <c r="U138" s="22">
        <v>8799</v>
      </c>
      <c r="V138" s="22">
        <v>7000</v>
      </c>
      <c r="W138" s="22" t="str">
        <v>Delivered</v>
      </c>
      <c r="X138" s="22" t="str">
        <v>Cash</v>
      </c>
      <c r="Y138" s="22">
        <v>52794</v>
      </c>
      <c r="Z138" s="22">
        <v>10794</v>
      </c>
      <c r="AA138" s="43">
        <v>0.20445505171042164</v>
      </c>
      <c r="AB138" s="15"/>
    </row>
    <row r="139" spans="1:28" x14ac:dyDescent="0.3">
      <c r="A139" s="37" t="s">
        <v>170</v>
      </c>
      <c r="B139" s="38">
        <v>45814</v>
      </c>
      <c r="C139" s="37" t="s">
        <v>65</v>
      </c>
      <c r="D139" s="37" t="s">
        <v>12</v>
      </c>
      <c r="E139" s="37" t="s">
        <v>32</v>
      </c>
      <c r="F139" s="39">
        <v>5</v>
      </c>
      <c r="G139" s="39">
        <v>5299</v>
      </c>
      <c r="H139" s="39">
        <v>3800</v>
      </c>
      <c r="I139" s="37" t="s">
        <v>19</v>
      </c>
      <c r="J139" s="37" t="s">
        <v>52</v>
      </c>
      <c r="K139" s="40">
        <f>Table1[[#This Row],[Quantity]]*Table1[[#This Row],[Unit Price]]</f>
        <v>26495</v>
      </c>
      <c r="L139" s="39">
        <f>Table1[[#This Row],[Revenue]]-Table1[[#This Row],[Cost Price]]*Table1[[#This Row],[Quantity]]</f>
        <v>7495</v>
      </c>
      <c r="M139" s="41">
        <f>IFERROR(Table1[[#This Row],[Profit]]/Table1[[#This Row],[Revenue]],"")</f>
        <v>0.2828835629364031</v>
      </c>
      <c r="N139" s="22"/>
      <c r="O139" s="49" t="s">
        <v>170</v>
      </c>
      <c r="P139" s="50" cm="1">
        <f t="array" ref="P139:AA139">_xlfn.XLOOKUP(O139,Table1[Order ID],Table1[[Order Date]:[Profit Margin]],0,0,1)</f>
        <v>45814</v>
      </c>
      <c r="Q139" s="37" t="str">
        <v>Office Chair</v>
      </c>
      <c r="R139" s="37" t="str">
        <v>Furniture</v>
      </c>
      <c r="S139" s="37" t="str">
        <v>North</v>
      </c>
      <c r="T139" s="37">
        <v>5</v>
      </c>
      <c r="U139" s="37">
        <v>5299</v>
      </c>
      <c r="V139" s="37">
        <v>3800</v>
      </c>
      <c r="W139" s="37" t="str">
        <v>Delivered</v>
      </c>
      <c r="X139" s="37" t="str">
        <v>Cash</v>
      </c>
      <c r="Y139" s="37">
        <v>26495</v>
      </c>
      <c r="Z139" s="37">
        <v>7495</v>
      </c>
      <c r="AA139" s="51">
        <v>0.2828835629364031</v>
      </c>
      <c r="AB139" s="15"/>
    </row>
    <row r="140" spans="1:28" x14ac:dyDescent="0.3">
      <c r="A140" s="22" t="s">
        <v>112</v>
      </c>
      <c r="B140" s="23">
        <v>45815</v>
      </c>
      <c r="C140" s="22" t="s">
        <v>46</v>
      </c>
      <c r="D140" s="22" t="s">
        <v>27</v>
      </c>
      <c r="E140" s="22" t="s">
        <v>32</v>
      </c>
      <c r="F140" s="24">
        <v>1</v>
      </c>
      <c r="G140" s="24">
        <v>399</v>
      </c>
      <c r="H140" s="24">
        <v>120</v>
      </c>
      <c r="I140" s="22" t="s">
        <v>41</v>
      </c>
      <c r="J140" s="22" t="s">
        <v>47</v>
      </c>
      <c r="K140" s="25">
        <f>Table1[[#This Row],[Quantity]]*Table1[[#This Row],[Unit Price]]</f>
        <v>399</v>
      </c>
      <c r="L140" s="24">
        <f>Table1[[#This Row],[Revenue]]-Table1[[#This Row],[Cost Price]]*Table1[[#This Row],[Quantity]]</f>
        <v>279</v>
      </c>
      <c r="M140" s="26">
        <f>IFERROR(Table1[[#This Row],[Profit]]/Table1[[#This Row],[Revenue]],"")</f>
        <v>0.6992481203007519</v>
      </c>
      <c r="N140" s="22"/>
      <c r="O140" s="42" t="s">
        <v>112</v>
      </c>
      <c r="P140" s="27" cm="1">
        <f t="array" ref="P140:AA140">_xlfn.XLOOKUP(O140,Table1[Order ID],Table1[[Order Date]:[Profit Margin]],0,0,1)</f>
        <v>45815</v>
      </c>
      <c r="Q140" s="22" t="str">
        <v>Notebook Pack</v>
      </c>
      <c r="R140" s="22" t="str">
        <v>Stationery</v>
      </c>
      <c r="S140" s="22" t="str">
        <v>North</v>
      </c>
      <c r="T140" s="22">
        <v>1</v>
      </c>
      <c r="U140" s="22">
        <v>399</v>
      </c>
      <c r="V140" s="22">
        <v>120</v>
      </c>
      <c r="W140" s="22" t="str">
        <v>Processing</v>
      </c>
      <c r="X140" s="22" t="str">
        <v>Debit Card</v>
      </c>
      <c r="Y140" s="22">
        <v>399</v>
      </c>
      <c r="Z140" s="22">
        <v>279</v>
      </c>
      <c r="AA140" s="43">
        <v>0.6992481203007519</v>
      </c>
      <c r="AB140" s="15"/>
    </row>
    <row r="141" spans="1:28" x14ac:dyDescent="0.3">
      <c r="A141" s="37" t="s">
        <v>190</v>
      </c>
      <c r="B141" s="38">
        <v>45815</v>
      </c>
      <c r="C141" s="37" t="s">
        <v>37</v>
      </c>
      <c r="D141" s="37" t="s">
        <v>38</v>
      </c>
      <c r="E141" s="37" t="s">
        <v>28</v>
      </c>
      <c r="F141" s="39">
        <v>5</v>
      </c>
      <c r="G141" s="39">
        <v>249</v>
      </c>
      <c r="H141" s="39">
        <v>90</v>
      </c>
      <c r="I141" s="37" t="s">
        <v>19</v>
      </c>
      <c r="J141" s="37" t="s">
        <v>26</v>
      </c>
      <c r="K141" s="40">
        <f>Table1[[#This Row],[Quantity]]*Table1[[#This Row],[Unit Price]]</f>
        <v>1245</v>
      </c>
      <c r="L141" s="39">
        <f>Table1[[#This Row],[Revenue]]-Table1[[#This Row],[Cost Price]]*Table1[[#This Row],[Quantity]]</f>
        <v>795</v>
      </c>
      <c r="M141" s="41">
        <f>IFERROR(Table1[[#This Row],[Profit]]/Table1[[#This Row],[Revenue]],"")</f>
        <v>0.63855421686746983</v>
      </c>
      <c r="N141" s="22"/>
      <c r="O141" s="49" t="s">
        <v>190</v>
      </c>
      <c r="P141" s="50" cm="1">
        <f t="array" ref="P141:AA141">_xlfn.XLOOKUP(O141,Table1[Order ID],Table1[[Order Date]:[Profit Margin]],0,0,1)</f>
        <v>45815</v>
      </c>
      <c r="Q141" s="37" t="str">
        <v>Coffee Mug</v>
      </c>
      <c r="R141" s="37" t="str">
        <v>Home Decor</v>
      </c>
      <c r="S141" s="37" t="str">
        <v>East</v>
      </c>
      <c r="T141" s="37">
        <v>5</v>
      </c>
      <c r="U141" s="37">
        <v>249</v>
      </c>
      <c r="V141" s="37">
        <v>90</v>
      </c>
      <c r="W141" s="37" t="str">
        <v>Delivered</v>
      </c>
      <c r="X141" s="37" t="str">
        <v>Credit Card</v>
      </c>
      <c r="Y141" s="37">
        <v>1245</v>
      </c>
      <c r="Z141" s="37">
        <v>795</v>
      </c>
      <c r="AA141" s="51">
        <v>0.63855421686746983</v>
      </c>
      <c r="AB141" s="15"/>
    </row>
    <row r="142" spans="1:28" x14ac:dyDescent="0.3">
      <c r="A142" s="22" t="s">
        <v>265</v>
      </c>
      <c r="B142" s="23">
        <v>45815</v>
      </c>
      <c r="C142" s="22" t="s">
        <v>57</v>
      </c>
      <c r="D142" s="22" t="s">
        <v>17</v>
      </c>
      <c r="E142" s="22" t="s">
        <v>32</v>
      </c>
      <c r="F142" s="24">
        <v>9</v>
      </c>
      <c r="G142" s="24">
        <v>9199</v>
      </c>
      <c r="H142" s="24">
        <v>7000</v>
      </c>
      <c r="I142" s="22" t="s">
        <v>14</v>
      </c>
      <c r="J142" s="22" t="s">
        <v>55</v>
      </c>
      <c r="K142" s="25">
        <f>Table1[[#This Row],[Quantity]]*Table1[[#This Row],[Unit Price]]</f>
        <v>82791</v>
      </c>
      <c r="L142" s="24">
        <f>Table1[[#This Row],[Revenue]]-Table1[[#This Row],[Cost Price]]*Table1[[#This Row],[Quantity]]</f>
        <v>19791</v>
      </c>
      <c r="M142" s="26">
        <f>IFERROR(Table1[[#This Row],[Profit]]/Table1[[#This Row],[Revenue]],"")</f>
        <v>0.23904772257854115</v>
      </c>
      <c r="N142" s="22"/>
      <c r="O142" s="42" t="s">
        <v>265</v>
      </c>
      <c r="P142" s="27" cm="1">
        <f t="array" ref="P142:AA142">_xlfn.XLOOKUP(O142,Table1[Order ID],Table1[[Order Date]:[Profit Margin]],0,0,1)</f>
        <v>45815</v>
      </c>
      <c r="Q142" s="22" t="str">
        <v>Water Purifier</v>
      </c>
      <c r="R142" s="22" t="str">
        <v>Appliances</v>
      </c>
      <c r="S142" s="22" t="str">
        <v>North</v>
      </c>
      <c r="T142" s="22">
        <v>9</v>
      </c>
      <c r="U142" s="22">
        <v>9199</v>
      </c>
      <c r="V142" s="22">
        <v>7000</v>
      </c>
      <c r="W142" s="22" t="str">
        <v>Returned</v>
      </c>
      <c r="X142" s="22" t="str">
        <v>Net Banking</v>
      </c>
      <c r="Y142" s="22">
        <v>82791</v>
      </c>
      <c r="Z142" s="22">
        <v>19791</v>
      </c>
      <c r="AA142" s="43">
        <v>0.23904772257854115</v>
      </c>
      <c r="AB142" s="15"/>
    </row>
    <row r="143" spans="1:28" x14ac:dyDescent="0.3">
      <c r="A143" s="37" t="s">
        <v>209</v>
      </c>
      <c r="B143" s="38">
        <v>45817</v>
      </c>
      <c r="C143" s="37" t="s">
        <v>16</v>
      </c>
      <c r="D143" s="37" t="s">
        <v>17</v>
      </c>
      <c r="E143" s="37" t="s">
        <v>32</v>
      </c>
      <c r="F143" s="39">
        <v>5</v>
      </c>
      <c r="G143" s="39">
        <v>3699</v>
      </c>
      <c r="H143" s="39">
        <v>2500</v>
      </c>
      <c r="I143" s="37" t="s">
        <v>19</v>
      </c>
      <c r="J143" s="37" t="s">
        <v>52</v>
      </c>
      <c r="K143" s="40">
        <f>Table1[[#This Row],[Quantity]]*Table1[[#This Row],[Unit Price]]</f>
        <v>18495</v>
      </c>
      <c r="L143" s="39">
        <f>Table1[[#This Row],[Revenue]]-Table1[[#This Row],[Cost Price]]*Table1[[#This Row],[Quantity]]</f>
        <v>5995</v>
      </c>
      <c r="M143" s="41">
        <f>IFERROR(Table1[[#This Row],[Profit]]/Table1[[#This Row],[Revenue]],"")</f>
        <v>0.32414165990808325</v>
      </c>
      <c r="N143" s="22"/>
      <c r="O143" s="49" t="s">
        <v>209</v>
      </c>
      <c r="P143" s="50" cm="1">
        <f t="array" ref="P143:AA143">_xlfn.XLOOKUP(O143,Table1[Order ID],Table1[[Order Date]:[Profit Margin]],0,0,1)</f>
        <v>45817</v>
      </c>
      <c r="Q143" s="37" t="str">
        <v>Mixer Grinder</v>
      </c>
      <c r="R143" s="37" t="str">
        <v>Appliances</v>
      </c>
      <c r="S143" s="37" t="str">
        <v>North</v>
      </c>
      <c r="T143" s="37">
        <v>5</v>
      </c>
      <c r="U143" s="37">
        <v>3699</v>
      </c>
      <c r="V143" s="37">
        <v>2500</v>
      </c>
      <c r="W143" s="37" t="str">
        <v>Delivered</v>
      </c>
      <c r="X143" s="37" t="str">
        <v>Cash</v>
      </c>
      <c r="Y143" s="37">
        <v>18495</v>
      </c>
      <c r="Z143" s="37">
        <v>5995</v>
      </c>
      <c r="AA143" s="51">
        <v>0.32414165990808325</v>
      </c>
      <c r="AB143" s="15"/>
    </row>
    <row r="144" spans="1:28" x14ac:dyDescent="0.3">
      <c r="A144" s="22" t="s">
        <v>68</v>
      </c>
      <c r="B144" s="23">
        <v>45818</v>
      </c>
      <c r="C144" s="22" t="s">
        <v>30</v>
      </c>
      <c r="D144" s="22" t="s">
        <v>31</v>
      </c>
      <c r="E144" s="22" t="s">
        <v>13</v>
      </c>
      <c r="F144" s="24">
        <v>4</v>
      </c>
      <c r="G144" s="24">
        <v>16199</v>
      </c>
      <c r="H144" s="24">
        <v>13500</v>
      </c>
      <c r="I144" s="22" t="s">
        <v>41</v>
      </c>
      <c r="J144" s="22" t="s">
        <v>47</v>
      </c>
      <c r="K144" s="25">
        <f>Table1[[#This Row],[Quantity]]*Table1[[#This Row],[Unit Price]]</f>
        <v>64796</v>
      </c>
      <c r="L144" s="24">
        <f>Table1[[#This Row],[Revenue]]-Table1[[#This Row],[Cost Price]]*Table1[[#This Row],[Quantity]]</f>
        <v>10796</v>
      </c>
      <c r="M144" s="26">
        <f>IFERROR(Table1[[#This Row],[Profit]]/Table1[[#This Row],[Revenue]],"")</f>
        <v>0.16661522316192356</v>
      </c>
      <c r="N144" s="22"/>
      <c r="O144" s="42" t="s">
        <v>68</v>
      </c>
      <c r="P144" s="27" cm="1">
        <f t="array" ref="P144:AA144">_xlfn.XLOOKUP(O144,Table1[Order ID],Table1[[Order Date]:[Profit Margin]],0,0,1)</f>
        <v>45818</v>
      </c>
      <c r="Q144" s="22" t="str">
        <v>Redmi Note 13</v>
      </c>
      <c r="R144" s="22" t="str">
        <v>Electronics</v>
      </c>
      <c r="S144" s="22" t="str">
        <v>South</v>
      </c>
      <c r="T144" s="22">
        <v>4</v>
      </c>
      <c r="U144" s="22">
        <v>16199</v>
      </c>
      <c r="V144" s="22">
        <v>13500</v>
      </c>
      <c r="W144" s="22" t="str">
        <v>Processing</v>
      </c>
      <c r="X144" s="22" t="str">
        <v>Debit Card</v>
      </c>
      <c r="Y144" s="22">
        <v>64796</v>
      </c>
      <c r="Z144" s="22">
        <v>10796</v>
      </c>
      <c r="AA144" s="43">
        <v>0.16661522316192356</v>
      </c>
      <c r="AB144" s="15"/>
    </row>
    <row r="145" spans="1:28" x14ac:dyDescent="0.3">
      <c r="A145" s="37" t="s">
        <v>176</v>
      </c>
      <c r="B145" s="38">
        <v>45819</v>
      </c>
      <c r="C145" s="37" t="s">
        <v>37</v>
      </c>
      <c r="D145" s="37" t="s">
        <v>38</v>
      </c>
      <c r="E145" s="37" t="s">
        <v>28</v>
      </c>
      <c r="F145" s="39">
        <v>7</v>
      </c>
      <c r="G145" s="39">
        <v>49</v>
      </c>
      <c r="H145" s="39">
        <v>90</v>
      </c>
      <c r="I145" s="37" t="s">
        <v>14</v>
      </c>
      <c r="J145" s="37" t="s">
        <v>52</v>
      </c>
      <c r="K145" s="40">
        <f>Table1[[#This Row],[Quantity]]*Table1[[#This Row],[Unit Price]]</f>
        <v>343</v>
      </c>
      <c r="L145" s="39">
        <f>Table1[[#This Row],[Revenue]]-Table1[[#This Row],[Cost Price]]*Table1[[#This Row],[Quantity]]</f>
        <v>-287</v>
      </c>
      <c r="M145" s="41">
        <f>IFERROR(Table1[[#This Row],[Profit]]/Table1[[#This Row],[Revenue]],"")</f>
        <v>-0.83673469387755106</v>
      </c>
      <c r="N145" s="22"/>
      <c r="O145" s="49" t="s">
        <v>176</v>
      </c>
      <c r="P145" s="50" cm="1">
        <f t="array" ref="P145:AA145">_xlfn.XLOOKUP(O145,Table1[Order ID],Table1[[Order Date]:[Profit Margin]],0,0,1)</f>
        <v>45819</v>
      </c>
      <c r="Q145" s="37" t="str">
        <v>Coffee Mug</v>
      </c>
      <c r="R145" s="37" t="str">
        <v>Home Decor</v>
      </c>
      <c r="S145" s="37" t="str">
        <v>East</v>
      </c>
      <c r="T145" s="37">
        <v>7</v>
      </c>
      <c r="U145" s="37">
        <v>49</v>
      </c>
      <c r="V145" s="37">
        <v>90</v>
      </c>
      <c r="W145" s="37" t="str">
        <v>Returned</v>
      </c>
      <c r="X145" s="37" t="str">
        <v>Cash</v>
      </c>
      <c r="Y145" s="37">
        <v>343</v>
      </c>
      <c r="Z145" s="37">
        <v>-287</v>
      </c>
      <c r="AA145" s="51">
        <v>-0.83673469387755106</v>
      </c>
      <c r="AB145" s="15"/>
    </row>
    <row r="146" spans="1:28" x14ac:dyDescent="0.3">
      <c r="A146" s="22" t="s">
        <v>198</v>
      </c>
      <c r="B146" s="23">
        <v>45820</v>
      </c>
      <c r="C146" s="22" t="s">
        <v>46</v>
      </c>
      <c r="D146" s="22" t="s">
        <v>27</v>
      </c>
      <c r="E146" s="22" t="s">
        <v>32</v>
      </c>
      <c r="F146" s="24">
        <v>2</v>
      </c>
      <c r="G146" s="24">
        <v>399</v>
      </c>
      <c r="H146" s="24">
        <v>120</v>
      </c>
      <c r="I146" s="22" t="s">
        <v>19</v>
      </c>
      <c r="J146" s="22" t="s">
        <v>34</v>
      </c>
      <c r="K146" s="25">
        <f>Table1[[#This Row],[Quantity]]*Table1[[#This Row],[Unit Price]]</f>
        <v>798</v>
      </c>
      <c r="L146" s="24">
        <f>Table1[[#This Row],[Revenue]]-Table1[[#This Row],[Cost Price]]*Table1[[#This Row],[Quantity]]</f>
        <v>558</v>
      </c>
      <c r="M146" s="26">
        <f>IFERROR(Table1[[#This Row],[Profit]]/Table1[[#This Row],[Revenue]],"")</f>
        <v>0.6992481203007519</v>
      </c>
      <c r="N146" s="22"/>
      <c r="O146" s="42" t="s">
        <v>198</v>
      </c>
      <c r="P146" s="27" cm="1">
        <f t="array" ref="P146:AA146">_xlfn.XLOOKUP(O146,Table1[Order ID],Table1[[Order Date]:[Profit Margin]],0,0,1)</f>
        <v>45820</v>
      </c>
      <c r="Q146" s="22" t="str">
        <v>Notebook Pack</v>
      </c>
      <c r="R146" s="22" t="str">
        <v>Stationery</v>
      </c>
      <c r="S146" s="22" t="str">
        <v>North</v>
      </c>
      <c r="T146" s="22">
        <v>2</v>
      </c>
      <c r="U146" s="22">
        <v>399</v>
      </c>
      <c r="V146" s="22">
        <v>120</v>
      </c>
      <c r="W146" s="22" t="str">
        <v>Delivered</v>
      </c>
      <c r="X146" s="22" t="str">
        <v>UPI</v>
      </c>
      <c r="Y146" s="22">
        <v>798</v>
      </c>
      <c r="Z146" s="22">
        <v>558</v>
      </c>
      <c r="AA146" s="43">
        <v>0.6992481203007519</v>
      </c>
      <c r="AB146" s="15"/>
    </row>
    <row r="147" spans="1:28" x14ac:dyDescent="0.3">
      <c r="A147" s="37" t="s">
        <v>310</v>
      </c>
      <c r="B147" s="38">
        <v>45820</v>
      </c>
      <c r="C147" s="37" t="s">
        <v>44</v>
      </c>
      <c r="D147" s="37" t="s">
        <v>31</v>
      </c>
      <c r="E147" s="37" t="s">
        <v>32</v>
      </c>
      <c r="F147" s="39">
        <v>3</v>
      </c>
      <c r="G147" s="39">
        <v>12999</v>
      </c>
      <c r="H147" s="39">
        <v>10800</v>
      </c>
      <c r="I147" s="37" t="s">
        <v>19</v>
      </c>
      <c r="J147" s="37" t="s">
        <v>34</v>
      </c>
      <c r="K147" s="40">
        <f>Table1[[#This Row],[Quantity]]*Table1[[#This Row],[Unit Price]]</f>
        <v>38997</v>
      </c>
      <c r="L147" s="39">
        <f>Table1[[#This Row],[Revenue]]-Table1[[#This Row],[Cost Price]]*Table1[[#This Row],[Quantity]]</f>
        <v>6597</v>
      </c>
      <c r="M147" s="41">
        <f>IFERROR(Table1[[#This Row],[Profit]]/Table1[[#This Row],[Revenue]],"")</f>
        <v>0.16916685898915301</v>
      </c>
      <c r="N147" s="22"/>
      <c r="O147" s="49" t="s">
        <v>310</v>
      </c>
      <c r="P147" s="50" cm="1">
        <f t="array" ref="P147:AA147">_xlfn.XLOOKUP(O147,Table1[Order ID],Table1[[Order Date]:[Profit Margin]],0,0,1)</f>
        <v>45820</v>
      </c>
      <c r="Q147" s="37" t="str">
        <v>Samsung Galaxy M14</v>
      </c>
      <c r="R147" s="37" t="str">
        <v>Electronics</v>
      </c>
      <c r="S147" s="37" t="str">
        <v>North</v>
      </c>
      <c r="T147" s="37">
        <v>3</v>
      </c>
      <c r="U147" s="37">
        <v>12999</v>
      </c>
      <c r="V147" s="37">
        <v>10800</v>
      </c>
      <c r="W147" s="37" t="str">
        <v>Delivered</v>
      </c>
      <c r="X147" s="37" t="str">
        <v>UPI</v>
      </c>
      <c r="Y147" s="37">
        <v>38997</v>
      </c>
      <c r="Z147" s="37">
        <v>6597</v>
      </c>
      <c r="AA147" s="51">
        <v>0.16916685898915301</v>
      </c>
      <c r="AB147" s="15"/>
    </row>
    <row r="148" spans="1:28" x14ac:dyDescent="0.3">
      <c r="A148" s="22" t="s">
        <v>289</v>
      </c>
      <c r="B148" s="23">
        <v>45823</v>
      </c>
      <c r="C148" s="22" t="s">
        <v>21</v>
      </c>
      <c r="D148" s="22" t="s">
        <v>22</v>
      </c>
      <c r="E148" s="22" t="s">
        <v>23</v>
      </c>
      <c r="F148" s="24">
        <v>6</v>
      </c>
      <c r="G148" s="24">
        <v>899</v>
      </c>
      <c r="H148" s="24">
        <v>350</v>
      </c>
      <c r="I148" s="22" t="s">
        <v>41</v>
      </c>
      <c r="J148" s="22" t="s">
        <v>26</v>
      </c>
      <c r="K148" s="25">
        <f>Table1[[#This Row],[Quantity]]*Table1[[#This Row],[Unit Price]]</f>
        <v>5394</v>
      </c>
      <c r="L148" s="24">
        <f>Table1[[#This Row],[Revenue]]-Table1[[#This Row],[Cost Price]]*Table1[[#This Row],[Quantity]]</f>
        <v>3294</v>
      </c>
      <c r="M148" s="26">
        <f>IFERROR(Table1[[#This Row],[Profit]]/Table1[[#This Row],[Revenue]],"")</f>
        <v>0.61067853170189101</v>
      </c>
      <c r="N148" s="22"/>
      <c r="O148" s="42" t="s">
        <v>289</v>
      </c>
      <c r="P148" s="27" cm="1">
        <f t="array" ref="P148:AA148">_xlfn.XLOOKUP(O148,Table1[Order ID],Table1[[Order Date]:[Profit Margin]],0,0,1)</f>
        <v>45823</v>
      </c>
      <c r="Q148" s="22" t="str">
        <v>Cotton T-Shirt</v>
      </c>
      <c r="R148" s="22" t="str">
        <v>Fashion</v>
      </c>
      <c r="S148" s="22" t="str">
        <v>West</v>
      </c>
      <c r="T148" s="22">
        <v>6</v>
      </c>
      <c r="U148" s="22">
        <v>899</v>
      </c>
      <c r="V148" s="22">
        <v>350</v>
      </c>
      <c r="W148" s="22" t="str">
        <v>Processing</v>
      </c>
      <c r="X148" s="22" t="str">
        <v>Credit Card</v>
      </c>
      <c r="Y148" s="22">
        <v>5394</v>
      </c>
      <c r="Z148" s="22">
        <v>3294</v>
      </c>
      <c r="AA148" s="43">
        <v>0.61067853170189101</v>
      </c>
      <c r="AB148" s="15"/>
    </row>
    <row r="149" spans="1:28" x14ac:dyDescent="0.3">
      <c r="A149" s="37" t="s">
        <v>70</v>
      </c>
      <c r="B149" s="38">
        <v>45825</v>
      </c>
      <c r="C149" s="37" t="s">
        <v>65</v>
      </c>
      <c r="D149" s="37" t="s">
        <v>12</v>
      </c>
      <c r="E149" s="37" t="s">
        <v>13</v>
      </c>
      <c r="F149" s="39">
        <v>5</v>
      </c>
      <c r="G149" s="39">
        <v>5699</v>
      </c>
      <c r="H149" s="39">
        <v>3800</v>
      </c>
      <c r="I149" s="37" t="s">
        <v>19</v>
      </c>
      <c r="J149" s="37" t="s">
        <v>47</v>
      </c>
      <c r="K149" s="40">
        <f>Table1[[#This Row],[Quantity]]*Table1[[#This Row],[Unit Price]]</f>
        <v>28495</v>
      </c>
      <c r="L149" s="39">
        <f>Table1[[#This Row],[Revenue]]-Table1[[#This Row],[Cost Price]]*Table1[[#This Row],[Quantity]]</f>
        <v>9495</v>
      </c>
      <c r="M149" s="41">
        <f>IFERROR(Table1[[#This Row],[Profit]]/Table1[[#This Row],[Revenue]],"")</f>
        <v>0.33321635374627129</v>
      </c>
      <c r="N149" s="22"/>
      <c r="O149" s="49" t="s">
        <v>70</v>
      </c>
      <c r="P149" s="50" cm="1">
        <f t="array" ref="P149:AA149">_xlfn.XLOOKUP(O149,Table1[Order ID],Table1[[Order Date]:[Profit Margin]],0,0,1)</f>
        <v>45825</v>
      </c>
      <c r="Q149" s="37" t="str">
        <v>Office Chair</v>
      </c>
      <c r="R149" s="37" t="str">
        <v>Furniture</v>
      </c>
      <c r="S149" s="37" t="str">
        <v>South</v>
      </c>
      <c r="T149" s="37">
        <v>5</v>
      </c>
      <c r="U149" s="37">
        <v>5699</v>
      </c>
      <c r="V149" s="37">
        <v>3800</v>
      </c>
      <c r="W149" s="37" t="str">
        <v>Delivered</v>
      </c>
      <c r="X149" s="37" t="str">
        <v>Debit Card</v>
      </c>
      <c r="Y149" s="37">
        <v>28495</v>
      </c>
      <c r="Z149" s="37">
        <v>9495</v>
      </c>
      <c r="AA149" s="51">
        <v>0.33321635374627129</v>
      </c>
      <c r="AB149" s="15"/>
    </row>
    <row r="150" spans="1:28" x14ac:dyDescent="0.3">
      <c r="A150" s="22" t="s">
        <v>119</v>
      </c>
      <c r="B150" s="23">
        <v>45831</v>
      </c>
      <c r="C150" s="22" t="s">
        <v>91</v>
      </c>
      <c r="D150" s="22" t="s">
        <v>38</v>
      </c>
      <c r="E150" s="22" t="s">
        <v>13</v>
      </c>
      <c r="F150" s="24">
        <v>4</v>
      </c>
      <c r="G150" s="24">
        <v>1099</v>
      </c>
      <c r="H150" s="24">
        <v>500</v>
      </c>
      <c r="I150" s="22" t="s">
        <v>19</v>
      </c>
      <c r="J150" s="22" t="s">
        <v>34</v>
      </c>
      <c r="K150" s="25">
        <f>Table1[[#This Row],[Quantity]]*Table1[[#This Row],[Unit Price]]</f>
        <v>4396</v>
      </c>
      <c r="L150" s="24">
        <f>Table1[[#This Row],[Revenue]]-Table1[[#This Row],[Cost Price]]*Table1[[#This Row],[Quantity]]</f>
        <v>2396</v>
      </c>
      <c r="M150" s="26">
        <f>IFERROR(Table1[[#This Row],[Profit]]/Table1[[#This Row],[Revenue]],"")</f>
        <v>0.54504094631483169</v>
      </c>
      <c r="N150" s="22"/>
      <c r="O150" s="42" t="s">
        <v>119</v>
      </c>
      <c r="P150" s="27" cm="1">
        <f t="array" ref="P150:AA150">_xlfn.XLOOKUP(O150,Table1[Order ID],Table1[[Order Date]:[Profit Margin]],0,0,1)</f>
        <v>45831</v>
      </c>
      <c r="Q150" s="22" t="str">
        <v>LED Desk Lamp</v>
      </c>
      <c r="R150" s="22" t="str">
        <v>Home Decor</v>
      </c>
      <c r="S150" s="22" t="str">
        <v>South</v>
      </c>
      <c r="T150" s="22">
        <v>4</v>
      </c>
      <c r="U150" s="22">
        <v>1099</v>
      </c>
      <c r="V150" s="22">
        <v>500</v>
      </c>
      <c r="W150" s="22" t="str">
        <v>Delivered</v>
      </c>
      <c r="X150" s="22" t="str">
        <v>UPI</v>
      </c>
      <c r="Y150" s="22">
        <v>4396</v>
      </c>
      <c r="Z150" s="22">
        <v>2396</v>
      </c>
      <c r="AA150" s="43">
        <v>0.54504094631483169</v>
      </c>
      <c r="AB150" s="15"/>
    </row>
    <row r="151" spans="1:28" x14ac:dyDescent="0.3">
      <c r="A151" s="37" t="s">
        <v>200</v>
      </c>
      <c r="B151" s="38">
        <v>45831</v>
      </c>
      <c r="C151" s="37" t="s">
        <v>44</v>
      </c>
      <c r="D151" s="37" t="s">
        <v>31</v>
      </c>
      <c r="E151" s="37" t="s">
        <v>32</v>
      </c>
      <c r="F151" s="39">
        <v>10</v>
      </c>
      <c r="G151" s="39">
        <v>12899</v>
      </c>
      <c r="H151" s="39">
        <v>10800</v>
      </c>
      <c r="I151" s="37" t="s">
        <v>14</v>
      </c>
      <c r="J151" s="37" t="s">
        <v>26</v>
      </c>
      <c r="K151" s="40">
        <f>Table1[[#This Row],[Quantity]]*Table1[[#This Row],[Unit Price]]</f>
        <v>128990</v>
      </c>
      <c r="L151" s="39">
        <f>Table1[[#This Row],[Revenue]]-Table1[[#This Row],[Cost Price]]*Table1[[#This Row],[Quantity]]</f>
        <v>20990</v>
      </c>
      <c r="M151" s="41">
        <f>IFERROR(Table1[[#This Row],[Profit]]/Table1[[#This Row],[Revenue]],"")</f>
        <v>0.1627257926971083</v>
      </c>
      <c r="N151" s="22"/>
      <c r="O151" s="49" t="s">
        <v>200</v>
      </c>
      <c r="P151" s="50" cm="1">
        <f t="array" ref="P151:AA151">_xlfn.XLOOKUP(O151,Table1[Order ID],Table1[[Order Date]:[Profit Margin]],0,0,1)</f>
        <v>45831</v>
      </c>
      <c r="Q151" s="37" t="str">
        <v>Samsung Galaxy M14</v>
      </c>
      <c r="R151" s="37" t="str">
        <v>Electronics</v>
      </c>
      <c r="S151" s="37" t="str">
        <v>North</v>
      </c>
      <c r="T151" s="37">
        <v>10</v>
      </c>
      <c r="U151" s="37">
        <v>12899</v>
      </c>
      <c r="V151" s="37">
        <v>10800</v>
      </c>
      <c r="W151" s="37" t="str">
        <v>Returned</v>
      </c>
      <c r="X151" s="37" t="str">
        <v>Credit Card</v>
      </c>
      <c r="Y151" s="37">
        <v>128990</v>
      </c>
      <c r="Z151" s="37">
        <v>20990</v>
      </c>
      <c r="AA151" s="51">
        <v>0.1627257926971083</v>
      </c>
      <c r="AB151" s="15"/>
    </row>
    <row r="152" spans="1:28" x14ac:dyDescent="0.3">
      <c r="A152" s="22" t="s">
        <v>287</v>
      </c>
      <c r="B152" s="23">
        <v>45831</v>
      </c>
      <c r="C152" s="22" t="s">
        <v>65</v>
      </c>
      <c r="D152" s="22" t="s">
        <v>12</v>
      </c>
      <c r="E152" s="22" t="s">
        <v>18</v>
      </c>
      <c r="F152" s="24">
        <v>1</v>
      </c>
      <c r="G152" s="24">
        <v>5299</v>
      </c>
      <c r="H152" s="24">
        <v>3800</v>
      </c>
      <c r="I152" s="22" t="s">
        <v>24</v>
      </c>
      <c r="J152" s="22" t="s">
        <v>55</v>
      </c>
      <c r="K152" s="25">
        <f>Table1[[#This Row],[Quantity]]*Table1[[#This Row],[Unit Price]]</f>
        <v>5299</v>
      </c>
      <c r="L152" s="24">
        <f>Table1[[#This Row],[Revenue]]-Table1[[#This Row],[Cost Price]]*Table1[[#This Row],[Quantity]]</f>
        <v>1499</v>
      </c>
      <c r="M152" s="26">
        <f>IFERROR(Table1[[#This Row],[Profit]]/Table1[[#This Row],[Revenue]],"")</f>
        <v>0.2828835629364031</v>
      </c>
      <c r="N152" s="22"/>
      <c r="O152" s="42" t="s">
        <v>287</v>
      </c>
      <c r="P152" s="27" cm="1">
        <f t="array" ref="P152:AA152">_xlfn.XLOOKUP(O152,Table1[Order ID],Table1[[Order Date]:[Profit Margin]],0,0,1)</f>
        <v>45831</v>
      </c>
      <c r="Q152" s="22" t="str">
        <v>Office Chair</v>
      </c>
      <c r="R152" s="22" t="str">
        <v>Furniture</v>
      </c>
      <c r="S152" s="22" t="str">
        <v>Central</v>
      </c>
      <c r="T152" s="22">
        <v>1</v>
      </c>
      <c r="U152" s="22">
        <v>5299</v>
      </c>
      <c r="V152" s="22">
        <v>3800</v>
      </c>
      <c r="W152" s="22" t="str">
        <v>Cancelled</v>
      </c>
      <c r="X152" s="22" t="str">
        <v>Net Banking</v>
      </c>
      <c r="Y152" s="22">
        <v>5299</v>
      </c>
      <c r="Z152" s="22">
        <v>1499</v>
      </c>
      <c r="AA152" s="43">
        <v>0.2828835629364031</v>
      </c>
      <c r="AB152" s="15"/>
    </row>
    <row r="153" spans="1:28" x14ac:dyDescent="0.3">
      <c r="A153" s="37" t="s">
        <v>66</v>
      </c>
      <c r="B153" s="38">
        <v>45832</v>
      </c>
      <c r="C153" s="37" t="s">
        <v>54</v>
      </c>
      <c r="D153" s="37" t="s">
        <v>27</v>
      </c>
      <c r="E153" s="37" t="s">
        <v>32</v>
      </c>
      <c r="F153" s="39">
        <v>2</v>
      </c>
      <c r="G153" s="39">
        <v>499</v>
      </c>
      <c r="H153" s="39">
        <v>180</v>
      </c>
      <c r="I153" s="37" t="s">
        <v>19</v>
      </c>
      <c r="J153" s="37" t="s">
        <v>26</v>
      </c>
      <c r="K153" s="40">
        <f>Table1[[#This Row],[Quantity]]*Table1[[#This Row],[Unit Price]]</f>
        <v>998</v>
      </c>
      <c r="L153" s="39">
        <f>Table1[[#This Row],[Revenue]]-Table1[[#This Row],[Cost Price]]*Table1[[#This Row],[Quantity]]</f>
        <v>638</v>
      </c>
      <c r="M153" s="41">
        <f>IFERROR(Table1[[#This Row],[Profit]]/Table1[[#This Row],[Revenue]],"")</f>
        <v>0.63927855711422843</v>
      </c>
      <c r="N153" s="22"/>
      <c r="O153" s="49" t="s">
        <v>66</v>
      </c>
      <c r="P153" s="50" cm="1">
        <f t="array" ref="P153:AA153">_xlfn.XLOOKUP(O153,Table1[Order ID],Table1[[Order Date]:[Profit Margin]],0,0,1)</f>
        <v>45832</v>
      </c>
      <c r="Q153" s="37" t="str">
        <v>Printer Paper</v>
      </c>
      <c r="R153" s="37" t="str">
        <v>Stationery</v>
      </c>
      <c r="S153" s="37" t="str">
        <v>North</v>
      </c>
      <c r="T153" s="37">
        <v>2</v>
      </c>
      <c r="U153" s="37">
        <v>499</v>
      </c>
      <c r="V153" s="37">
        <v>180</v>
      </c>
      <c r="W153" s="37" t="str">
        <v>Delivered</v>
      </c>
      <c r="X153" s="37" t="str">
        <v>Credit Card</v>
      </c>
      <c r="Y153" s="37">
        <v>998</v>
      </c>
      <c r="Z153" s="37">
        <v>638</v>
      </c>
      <c r="AA153" s="51">
        <v>0.63927855711422843</v>
      </c>
      <c r="AB153" s="15"/>
    </row>
    <row r="154" spans="1:28" x14ac:dyDescent="0.3">
      <c r="A154" s="22" t="s">
        <v>58</v>
      </c>
      <c r="B154" s="23">
        <v>45833</v>
      </c>
      <c r="C154" s="22" t="s">
        <v>16</v>
      </c>
      <c r="D154" s="22" t="s">
        <v>17</v>
      </c>
      <c r="E154" s="22" t="s">
        <v>23</v>
      </c>
      <c r="F154" s="24">
        <v>3</v>
      </c>
      <c r="G154" s="24">
        <v>3599</v>
      </c>
      <c r="H154" s="24">
        <v>2500</v>
      </c>
      <c r="I154" s="22" t="s">
        <v>33</v>
      </c>
      <c r="J154" s="22" t="s">
        <v>26</v>
      </c>
      <c r="K154" s="25">
        <f>Table1[[#This Row],[Quantity]]*Table1[[#This Row],[Unit Price]]</f>
        <v>10797</v>
      </c>
      <c r="L154" s="24">
        <f>Table1[[#This Row],[Revenue]]-Table1[[#This Row],[Cost Price]]*Table1[[#This Row],[Quantity]]</f>
        <v>3297</v>
      </c>
      <c r="M154" s="26">
        <f>IFERROR(Table1[[#This Row],[Profit]]/Table1[[#This Row],[Revenue]],"")</f>
        <v>0.30536260072242288</v>
      </c>
      <c r="N154" s="22"/>
      <c r="O154" s="42" t="s">
        <v>58</v>
      </c>
      <c r="P154" s="27" cm="1">
        <f t="array" ref="P154:AA154">_xlfn.XLOOKUP(O154,Table1[Order ID],Table1[[Order Date]:[Profit Margin]],0,0,1)</f>
        <v>45833</v>
      </c>
      <c r="Q154" s="22" t="str">
        <v>Mixer Grinder</v>
      </c>
      <c r="R154" s="22" t="str">
        <v>Appliances</v>
      </c>
      <c r="S154" s="22" t="str">
        <v>West</v>
      </c>
      <c r="T154" s="22">
        <v>3</v>
      </c>
      <c r="U154" s="22">
        <v>3599</v>
      </c>
      <c r="V154" s="22">
        <v>2500</v>
      </c>
      <c r="W154" s="22" t="str">
        <v>Shipped</v>
      </c>
      <c r="X154" s="22" t="str">
        <v>Credit Card</v>
      </c>
      <c r="Y154" s="22">
        <v>10797</v>
      </c>
      <c r="Z154" s="22">
        <v>3297</v>
      </c>
      <c r="AA154" s="43">
        <v>0.30536260072242288</v>
      </c>
      <c r="AB154" s="15"/>
    </row>
    <row r="155" spans="1:28" x14ac:dyDescent="0.3">
      <c r="A155" s="37" t="s">
        <v>279</v>
      </c>
      <c r="B155" s="38">
        <v>45836</v>
      </c>
      <c r="C155" s="37" t="s">
        <v>57</v>
      </c>
      <c r="D155" s="37" t="s">
        <v>17</v>
      </c>
      <c r="E155" s="37" t="s">
        <v>13</v>
      </c>
      <c r="F155" s="39">
        <v>6</v>
      </c>
      <c r="G155" s="39">
        <v>8799</v>
      </c>
      <c r="H155" s="39">
        <v>7000</v>
      </c>
      <c r="I155" s="37" t="s">
        <v>33</v>
      </c>
      <c r="J155" s="37" t="s">
        <v>34</v>
      </c>
      <c r="K155" s="40">
        <f>Table1[[#This Row],[Quantity]]*Table1[[#This Row],[Unit Price]]</f>
        <v>52794</v>
      </c>
      <c r="L155" s="39">
        <f>Table1[[#This Row],[Revenue]]-Table1[[#This Row],[Cost Price]]*Table1[[#This Row],[Quantity]]</f>
        <v>10794</v>
      </c>
      <c r="M155" s="41">
        <f>IFERROR(Table1[[#This Row],[Profit]]/Table1[[#This Row],[Revenue]],"")</f>
        <v>0.20445505171042164</v>
      </c>
      <c r="N155" s="22"/>
      <c r="O155" s="49" t="s">
        <v>279</v>
      </c>
      <c r="P155" s="50" cm="1">
        <f t="array" ref="P155:AA155">_xlfn.XLOOKUP(O155,Table1[Order ID],Table1[[Order Date]:[Profit Margin]],0,0,1)</f>
        <v>45836</v>
      </c>
      <c r="Q155" s="37" t="str">
        <v>Water Purifier</v>
      </c>
      <c r="R155" s="37" t="str">
        <v>Appliances</v>
      </c>
      <c r="S155" s="37" t="str">
        <v>South</v>
      </c>
      <c r="T155" s="37">
        <v>6</v>
      </c>
      <c r="U155" s="37">
        <v>8799</v>
      </c>
      <c r="V155" s="37">
        <v>7000</v>
      </c>
      <c r="W155" s="37" t="str">
        <v>Shipped</v>
      </c>
      <c r="X155" s="37" t="str">
        <v>UPI</v>
      </c>
      <c r="Y155" s="37">
        <v>52794</v>
      </c>
      <c r="Z155" s="37">
        <v>10794</v>
      </c>
      <c r="AA155" s="51">
        <v>0.20445505171042164</v>
      </c>
      <c r="AB155" s="15"/>
    </row>
    <row r="156" spans="1:28" x14ac:dyDescent="0.3">
      <c r="A156" s="22" t="s">
        <v>244</v>
      </c>
      <c r="B156" s="23">
        <v>45838</v>
      </c>
      <c r="C156" s="22" t="s">
        <v>74</v>
      </c>
      <c r="D156" s="22" t="s">
        <v>31</v>
      </c>
      <c r="E156" s="22" t="s">
        <v>32</v>
      </c>
      <c r="F156" s="24">
        <v>5</v>
      </c>
      <c r="G156" s="24">
        <v>1899</v>
      </c>
      <c r="H156" s="24">
        <v>1200</v>
      </c>
      <c r="I156" s="22" t="s">
        <v>19</v>
      </c>
      <c r="J156" s="22" t="s">
        <v>47</v>
      </c>
      <c r="K156" s="25">
        <f>Table1[[#This Row],[Quantity]]*Table1[[#This Row],[Unit Price]]</f>
        <v>9495</v>
      </c>
      <c r="L156" s="24">
        <f>Table1[[#This Row],[Revenue]]-Table1[[#This Row],[Cost Price]]*Table1[[#This Row],[Quantity]]</f>
        <v>3495</v>
      </c>
      <c r="M156" s="26">
        <f>IFERROR(Table1[[#This Row],[Profit]]/Table1[[#This Row],[Revenue]],"")</f>
        <v>0.36808846761453395</v>
      </c>
      <c r="N156" s="22"/>
      <c r="O156" s="42" t="s">
        <v>244</v>
      </c>
      <c r="P156" s="27" cm="1">
        <f t="array" ref="P156:AA156">_xlfn.XLOOKUP(O156,Table1[Order ID],Table1[[Order Date]:[Profit Margin]],0,0,1)</f>
        <v>45838</v>
      </c>
      <c r="Q156" s="22" t="str">
        <v>Boat Headphones</v>
      </c>
      <c r="R156" s="22" t="str">
        <v>Electronics</v>
      </c>
      <c r="S156" s="22" t="str">
        <v>North</v>
      </c>
      <c r="T156" s="22">
        <v>5</v>
      </c>
      <c r="U156" s="22">
        <v>1899</v>
      </c>
      <c r="V156" s="22">
        <v>1200</v>
      </c>
      <c r="W156" s="22" t="str">
        <v>Delivered</v>
      </c>
      <c r="X156" s="22" t="str">
        <v>Debit Card</v>
      </c>
      <c r="Y156" s="22">
        <v>9495</v>
      </c>
      <c r="Z156" s="22">
        <v>3495</v>
      </c>
      <c r="AA156" s="43">
        <v>0.36808846761453395</v>
      </c>
      <c r="AB156" s="15"/>
    </row>
    <row r="157" spans="1:28" x14ac:dyDescent="0.3">
      <c r="A157" s="37" t="s">
        <v>195</v>
      </c>
      <c r="B157" s="38">
        <v>45843</v>
      </c>
      <c r="C157" s="37" t="s">
        <v>49</v>
      </c>
      <c r="D157" s="37" t="s">
        <v>22</v>
      </c>
      <c r="E157" s="37" t="s">
        <v>28</v>
      </c>
      <c r="F157" s="39">
        <v>10</v>
      </c>
      <c r="G157" s="39">
        <v>2699</v>
      </c>
      <c r="H157" s="39">
        <v>1400</v>
      </c>
      <c r="I157" s="37" t="s">
        <v>24</v>
      </c>
      <c r="J157" s="37" t="s">
        <v>26</v>
      </c>
      <c r="K157" s="40">
        <f>Table1[[#This Row],[Quantity]]*Table1[[#This Row],[Unit Price]]</f>
        <v>26990</v>
      </c>
      <c r="L157" s="39">
        <f>Table1[[#This Row],[Revenue]]-Table1[[#This Row],[Cost Price]]*Table1[[#This Row],[Quantity]]</f>
        <v>12990</v>
      </c>
      <c r="M157" s="41">
        <f>IFERROR(Table1[[#This Row],[Profit]]/Table1[[#This Row],[Revenue]],"")</f>
        <v>0.48128936643201187</v>
      </c>
      <c r="N157" s="22"/>
      <c r="O157" s="49" t="s">
        <v>195</v>
      </c>
      <c r="P157" s="50" cm="1">
        <f t="array" ref="P157:AA157">_xlfn.XLOOKUP(O157,Table1[Order ID],Table1[[Order Date]:[Profit Margin]],0,0,1)</f>
        <v>45843</v>
      </c>
      <c r="Q157" s="37" t="str">
        <v>Running Shoes</v>
      </c>
      <c r="R157" s="37" t="str">
        <v>Fashion</v>
      </c>
      <c r="S157" s="37" t="str">
        <v>East</v>
      </c>
      <c r="T157" s="37">
        <v>10</v>
      </c>
      <c r="U157" s="37">
        <v>2699</v>
      </c>
      <c r="V157" s="37">
        <v>1400</v>
      </c>
      <c r="W157" s="37" t="str">
        <v>Cancelled</v>
      </c>
      <c r="X157" s="37" t="str">
        <v>Credit Card</v>
      </c>
      <c r="Y157" s="37">
        <v>26990</v>
      </c>
      <c r="Z157" s="37">
        <v>12990</v>
      </c>
      <c r="AA157" s="51">
        <v>0.48128936643201187</v>
      </c>
      <c r="AB157" s="15"/>
    </row>
    <row r="158" spans="1:28" x14ac:dyDescent="0.3">
      <c r="A158" s="22" t="s">
        <v>250</v>
      </c>
      <c r="B158" s="23">
        <v>45843</v>
      </c>
      <c r="C158" s="22" t="s">
        <v>74</v>
      </c>
      <c r="D158" s="22" t="s">
        <v>31</v>
      </c>
      <c r="E158" s="22" t="s">
        <v>13</v>
      </c>
      <c r="F158" s="24">
        <v>9</v>
      </c>
      <c r="G158" s="24">
        <v>1799</v>
      </c>
      <c r="H158" s="24">
        <v>1200</v>
      </c>
      <c r="I158" s="22" t="s">
        <v>41</v>
      </c>
      <c r="J158" s="22" t="s">
        <v>26</v>
      </c>
      <c r="K158" s="25">
        <f>Table1[[#This Row],[Quantity]]*Table1[[#This Row],[Unit Price]]</f>
        <v>16191</v>
      </c>
      <c r="L158" s="24">
        <f>Table1[[#This Row],[Revenue]]-Table1[[#This Row],[Cost Price]]*Table1[[#This Row],[Quantity]]</f>
        <v>5391</v>
      </c>
      <c r="M158" s="26">
        <f>IFERROR(Table1[[#This Row],[Profit]]/Table1[[#This Row],[Revenue]],"")</f>
        <v>0.33296275708727069</v>
      </c>
      <c r="N158" s="22"/>
      <c r="O158" s="42" t="s">
        <v>250</v>
      </c>
      <c r="P158" s="27" cm="1">
        <f t="array" ref="P158:AA158">_xlfn.XLOOKUP(O158,Table1[Order ID],Table1[[Order Date]:[Profit Margin]],0,0,1)</f>
        <v>45843</v>
      </c>
      <c r="Q158" s="22" t="str">
        <v>Boat Headphones</v>
      </c>
      <c r="R158" s="22" t="str">
        <v>Electronics</v>
      </c>
      <c r="S158" s="22" t="str">
        <v>South</v>
      </c>
      <c r="T158" s="22">
        <v>9</v>
      </c>
      <c r="U158" s="22">
        <v>1799</v>
      </c>
      <c r="V158" s="22">
        <v>1200</v>
      </c>
      <c r="W158" s="22" t="str">
        <v>Processing</v>
      </c>
      <c r="X158" s="22" t="str">
        <v>Credit Card</v>
      </c>
      <c r="Y158" s="22">
        <v>16191</v>
      </c>
      <c r="Z158" s="22">
        <v>5391</v>
      </c>
      <c r="AA158" s="43">
        <v>0.33296275708727069</v>
      </c>
      <c r="AB158" s="15"/>
    </row>
    <row r="159" spans="1:28" x14ac:dyDescent="0.3">
      <c r="A159" s="37" t="s">
        <v>214</v>
      </c>
      <c r="B159" s="38">
        <v>45844</v>
      </c>
      <c r="C159" s="37" t="s">
        <v>21</v>
      </c>
      <c r="D159" s="37" t="s">
        <v>22</v>
      </c>
      <c r="E159" s="37" t="s">
        <v>23</v>
      </c>
      <c r="F159" s="39">
        <v>4</v>
      </c>
      <c r="G159" s="39">
        <v>599</v>
      </c>
      <c r="H159" s="39">
        <v>350</v>
      </c>
      <c r="I159" s="37" t="s">
        <v>24</v>
      </c>
      <c r="J159" s="37" t="s">
        <v>34</v>
      </c>
      <c r="K159" s="40">
        <f>Table1[[#This Row],[Quantity]]*Table1[[#This Row],[Unit Price]]</f>
        <v>2396</v>
      </c>
      <c r="L159" s="39">
        <f>Table1[[#This Row],[Revenue]]-Table1[[#This Row],[Cost Price]]*Table1[[#This Row],[Quantity]]</f>
        <v>996</v>
      </c>
      <c r="M159" s="41">
        <f>IFERROR(Table1[[#This Row],[Profit]]/Table1[[#This Row],[Revenue]],"")</f>
        <v>0.41569282136894825</v>
      </c>
      <c r="N159" s="22"/>
      <c r="O159" s="49" t="s">
        <v>214</v>
      </c>
      <c r="P159" s="50" cm="1">
        <f t="array" ref="P159:AA159">_xlfn.XLOOKUP(O159,Table1[Order ID],Table1[[Order Date]:[Profit Margin]],0,0,1)</f>
        <v>45844</v>
      </c>
      <c r="Q159" s="37" t="str">
        <v>Cotton T-Shirt</v>
      </c>
      <c r="R159" s="37" t="str">
        <v>Fashion</v>
      </c>
      <c r="S159" s="37" t="str">
        <v>West</v>
      </c>
      <c r="T159" s="37">
        <v>4</v>
      </c>
      <c r="U159" s="37">
        <v>599</v>
      </c>
      <c r="V159" s="37">
        <v>350</v>
      </c>
      <c r="W159" s="37" t="str">
        <v>Cancelled</v>
      </c>
      <c r="X159" s="37" t="str">
        <v>UPI</v>
      </c>
      <c r="Y159" s="37">
        <v>2396</v>
      </c>
      <c r="Z159" s="37">
        <v>996</v>
      </c>
      <c r="AA159" s="51">
        <v>0.41569282136894825</v>
      </c>
      <c r="AB159" s="15"/>
    </row>
    <row r="160" spans="1:28" x14ac:dyDescent="0.3">
      <c r="A160" s="22" t="s">
        <v>165</v>
      </c>
      <c r="B160" s="23">
        <v>45849</v>
      </c>
      <c r="C160" s="22" t="s">
        <v>21</v>
      </c>
      <c r="D160" s="22" t="s">
        <v>22</v>
      </c>
      <c r="E160" s="22" t="s">
        <v>32</v>
      </c>
      <c r="F160" s="24">
        <v>2</v>
      </c>
      <c r="G160" s="24">
        <v>999</v>
      </c>
      <c r="H160" s="24">
        <v>350</v>
      </c>
      <c r="I160" s="22" t="s">
        <v>19</v>
      </c>
      <c r="J160" s="22" t="s">
        <v>34</v>
      </c>
      <c r="K160" s="25">
        <f>Table1[[#This Row],[Quantity]]*Table1[[#This Row],[Unit Price]]</f>
        <v>1998</v>
      </c>
      <c r="L160" s="24">
        <f>Table1[[#This Row],[Revenue]]-Table1[[#This Row],[Cost Price]]*Table1[[#This Row],[Quantity]]</f>
        <v>1298</v>
      </c>
      <c r="M160" s="26">
        <f>IFERROR(Table1[[#This Row],[Profit]]/Table1[[#This Row],[Revenue]],"")</f>
        <v>0.64964964964964966</v>
      </c>
      <c r="N160" s="22"/>
      <c r="O160" s="42" t="s">
        <v>165</v>
      </c>
      <c r="P160" s="27" cm="1">
        <f t="array" ref="P160:AA160">_xlfn.XLOOKUP(O160,Table1[Order ID],Table1[[Order Date]:[Profit Margin]],0,0,1)</f>
        <v>45849</v>
      </c>
      <c r="Q160" s="22" t="str">
        <v>Cotton T-Shirt</v>
      </c>
      <c r="R160" s="22" t="str">
        <v>Fashion</v>
      </c>
      <c r="S160" s="22" t="str">
        <v>North</v>
      </c>
      <c r="T160" s="22">
        <v>2</v>
      </c>
      <c r="U160" s="22">
        <v>999</v>
      </c>
      <c r="V160" s="22">
        <v>350</v>
      </c>
      <c r="W160" s="22" t="str">
        <v>Delivered</v>
      </c>
      <c r="X160" s="22" t="str">
        <v>UPI</v>
      </c>
      <c r="Y160" s="22">
        <v>1998</v>
      </c>
      <c r="Z160" s="22">
        <v>1298</v>
      </c>
      <c r="AA160" s="43">
        <v>0.64964964964964966</v>
      </c>
      <c r="AB160" s="15"/>
    </row>
    <row r="161" spans="1:28" x14ac:dyDescent="0.3">
      <c r="A161" s="37" t="s">
        <v>286</v>
      </c>
      <c r="B161" s="38">
        <v>45849</v>
      </c>
      <c r="C161" s="37" t="s">
        <v>46</v>
      </c>
      <c r="D161" s="37" t="s">
        <v>27</v>
      </c>
      <c r="E161" s="37" t="s">
        <v>23</v>
      </c>
      <c r="F161" s="39">
        <v>5</v>
      </c>
      <c r="G161" s="39">
        <v>99</v>
      </c>
      <c r="H161" s="39">
        <v>120</v>
      </c>
      <c r="I161" s="37" t="s">
        <v>33</v>
      </c>
      <c r="J161" s="37" t="s">
        <v>34</v>
      </c>
      <c r="K161" s="40">
        <f>Table1[[#This Row],[Quantity]]*Table1[[#This Row],[Unit Price]]</f>
        <v>495</v>
      </c>
      <c r="L161" s="39">
        <f>Table1[[#This Row],[Revenue]]-Table1[[#This Row],[Cost Price]]*Table1[[#This Row],[Quantity]]</f>
        <v>-105</v>
      </c>
      <c r="M161" s="41">
        <f>IFERROR(Table1[[#This Row],[Profit]]/Table1[[#This Row],[Revenue]],"")</f>
        <v>-0.21212121212121213</v>
      </c>
      <c r="N161" s="22"/>
      <c r="O161" s="49" t="s">
        <v>286</v>
      </c>
      <c r="P161" s="50" cm="1">
        <f t="array" ref="P161:AA161">_xlfn.XLOOKUP(O161,Table1[Order ID],Table1[[Order Date]:[Profit Margin]],0,0,1)</f>
        <v>45849</v>
      </c>
      <c r="Q161" s="37" t="str">
        <v>Notebook Pack</v>
      </c>
      <c r="R161" s="37" t="str">
        <v>Stationery</v>
      </c>
      <c r="S161" s="37" t="str">
        <v>West</v>
      </c>
      <c r="T161" s="37">
        <v>5</v>
      </c>
      <c r="U161" s="37">
        <v>99</v>
      </c>
      <c r="V161" s="37">
        <v>120</v>
      </c>
      <c r="W161" s="37" t="str">
        <v>Shipped</v>
      </c>
      <c r="X161" s="37" t="str">
        <v>UPI</v>
      </c>
      <c r="Y161" s="37">
        <v>495</v>
      </c>
      <c r="Z161" s="37">
        <v>-105</v>
      </c>
      <c r="AA161" s="51">
        <v>-0.21212121212121213</v>
      </c>
      <c r="AB161" s="15"/>
    </row>
    <row r="162" spans="1:28" x14ac:dyDescent="0.3">
      <c r="A162" s="22" t="s">
        <v>163</v>
      </c>
      <c r="B162" s="23">
        <v>45855</v>
      </c>
      <c r="C162" s="22" t="s">
        <v>16</v>
      </c>
      <c r="D162" s="22" t="s">
        <v>17</v>
      </c>
      <c r="E162" s="22" t="s">
        <v>28</v>
      </c>
      <c r="F162" s="24">
        <v>1</v>
      </c>
      <c r="G162" s="24">
        <v>3299</v>
      </c>
      <c r="H162" s="24">
        <v>2500</v>
      </c>
      <c r="I162" s="22" t="s">
        <v>24</v>
      </c>
      <c r="J162" s="22" t="s">
        <v>26</v>
      </c>
      <c r="K162" s="25">
        <f>Table1[[#This Row],[Quantity]]*Table1[[#This Row],[Unit Price]]</f>
        <v>3299</v>
      </c>
      <c r="L162" s="24">
        <f>Table1[[#This Row],[Revenue]]-Table1[[#This Row],[Cost Price]]*Table1[[#This Row],[Quantity]]</f>
        <v>799</v>
      </c>
      <c r="M162" s="26">
        <f>IFERROR(Table1[[#This Row],[Profit]]/Table1[[#This Row],[Revenue]],"")</f>
        <v>0.24219460442558352</v>
      </c>
      <c r="N162" s="22"/>
      <c r="O162" s="42" t="s">
        <v>163</v>
      </c>
      <c r="P162" s="27" cm="1">
        <f t="array" ref="P162:AA162">_xlfn.XLOOKUP(O162,Table1[Order ID],Table1[[Order Date]:[Profit Margin]],0,0,1)</f>
        <v>45855</v>
      </c>
      <c r="Q162" s="22" t="str">
        <v>Mixer Grinder</v>
      </c>
      <c r="R162" s="22" t="str">
        <v>Appliances</v>
      </c>
      <c r="S162" s="22" t="str">
        <v>East</v>
      </c>
      <c r="T162" s="22">
        <v>1</v>
      </c>
      <c r="U162" s="22">
        <v>3299</v>
      </c>
      <c r="V162" s="22">
        <v>2500</v>
      </c>
      <c r="W162" s="22" t="str">
        <v>Cancelled</v>
      </c>
      <c r="X162" s="22" t="str">
        <v>Credit Card</v>
      </c>
      <c r="Y162" s="22">
        <v>3299</v>
      </c>
      <c r="Z162" s="22">
        <v>799</v>
      </c>
      <c r="AA162" s="43">
        <v>0.24219460442558352</v>
      </c>
      <c r="AB162" s="15"/>
    </row>
    <row r="163" spans="1:28" x14ac:dyDescent="0.3">
      <c r="A163" s="37" t="s">
        <v>84</v>
      </c>
      <c r="B163" s="38">
        <v>45858</v>
      </c>
      <c r="C163" s="37" t="s">
        <v>30</v>
      </c>
      <c r="D163" s="37" t="s">
        <v>31</v>
      </c>
      <c r="E163" s="37" t="s">
        <v>32</v>
      </c>
      <c r="F163" s="39">
        <v>10</v>
      </c>
      <c r="G163" s="39">
        <v>15999</v>
      </c>
      <c r="H163" s="39">
        <v>13500</v>
      </c>
      <c r="I163" s="37" t="s">
        <v>19</v>
      </c>
      <c r="J163" s="37" t="s">
        <v>47</v>
      </c>
      <c r="K163" s="40">
        <f>Table1[[#This Row],[Quantity]]*Table1[[#This Row],[Unit Price]]</f>
        <v>159990</v>
      </c>
      <c r="L163" s="39">
        <f>Table1[[#This Row],[Revenue]]-Table1[[#This Row],[Cost Price]]*Table1[[#This Row],[Quantity]]</f>
        <v>24990</v>
      </c>
      <c r="M163" s="41">
        <f>IFERROR(Table1[[#This Row],[Profit]]/Table1[[#This Row],[Revenue]],"")</f>
        <v>0.15619726232889555</v>
      </c>
      <c r="N163" s="22"/>
      <c r="O163" s="49" t="s">
        <v>84</v>
      </c>
      <c r="P163" s="50" cm="1">
        <f t="array" ref="P163:AA163">_xlfn.XLOOKUP(O163,Table1[Order ID],Table1[[Order Date]:[Profit Margin]],0,0,1)</f>
        <v>45858</v>
      </c>
      <c r="Q163" s="37" t="str">
        <v>Redmi Note 13</v>
      </c>
      <c r="R163" s="37" t="str">
        <v>Electronics</v>
      </c>
      <c r="S163" s="37" t="str">
        <v>North</v>
      </c>
      <c r="T163" s="37">
        <v>10</v>
      </c>
      <c r="U163" s="37">
        <v>15999</v>
      </c>
      <c r="V163" s="37">
        <v>13500</v>
      </c>
      <c r="W163" s="37" t="str">
        <v>Delivered</v>
      </c>
      <c r="X163" s="37" t="str">
        <v>Debit Card</v>
      </c>
      <c r="Y163" s="37">
        <v>159990</v>
      </c>
      <c r="Z163" s="37">
        <v>24990</v>
      </c>
      <c r="AA163" s="51">
        <v>0.15619726232889555</v>
      </c>
      <c r="AB163" s="15"/>
    </row>
    <row r="164" spans="1:28" x14ac:dyDescent="0.3">
      <c r="A164" s="22" t="s">
        <v>142</v>
      </c>
      <c r="B164" s="23">
        <v>45858</v>
      </c>
      <c r="C164" s="22" t="s">
        <v>51</v>
      </c>
      <c r="D164" s="22" t="s">
        <v>31</v>
      </c>
      <c r="E164" s="22" t="s">
        <v>32</v>
      </c>
      <c r="F164" s="24">
        <v>2</v>
      </c>
      <c r="G164" s="24">
        <v>3099</v>
      </c>
      <c r="H164" s="24">
        <v>1800</v>
      </c>
      <c r="I164" s="22" t="s">
        <v>14</v>
      </c>
      <c r="J164" s="22" t="s">
        <v>34</v>
      </c>
      <c r="K164" s="25">
        <f>Table1[[#This Row],[Quantity]]*Table1[[#This Row],[Unit Price]]</f>
        <v>6198</v>
      </c>
      <c r="L164" s="24">
        <f>Table1[[#This Row],[Revenue]]-Table1[[#This Row],[Cost Price]]*Table1[[#This Row],[Quantity]]</f>
        <v>2598</v>
      </c>
      <c r="M164" s="26">
        <f>IFERROR(Table1[[#This Row],[Profit]]/Table1[[#This Row],[Revenue]],"")</f>
        <v>0.41916747337850918</v>
      </c>
      <c r="N164" s="22"/>
      <c r="O164" s="42" t="s">
        <v>142</v>
      </c>
      <c r="P164" s="27" cm="1">
        <f t="array" ref="P164:AA164">_xlfn.XLOOKUP(O164,Table1[Order ID],Table1[[Order Date]:[Profit Margin]],0,0,1)</f>
        <v>45858</v>
      </c>
      <c r="Q164" s="22" t="str">
        <v>Bluetooth Speaker</v>
      </c>
      <c r="R164" s="22" t="str">
        <v>Electronics</v>
      </c>
      <c r="S164" s="22" t="str">
        <v>North</v>
      </c>
      <c r="T164" s="22">
        <v>2</v>
      </c>
      <c r="U164" s="22">
        <v>3099</v>
      </c>
      <c r="V164" s="22">
        <v>1800</v>
      </c>
      <c r="W164" s="22" t="str">
        <v>Returned</v>
      </c>
      <c r="X164" s="22" t="str">
        <v>UPI</v>
      </c>
      <c r="Y164" s="22">
        <v>6198</v>
      </c>
      <c r="Z164" s="22">
        <v>2598</v>
      </c>
      <c r="AA164" s="43">
        <v>0.41916747337850918</v>
      </c>
      <c r="AB164" s="15"/>
    </row>
    <row r="165" spans="1:28" x14ac:dyDescent="0.3">
      <c r="A165" s="37" t="s">
        <v>224</v>
      </c>
      <c r="B165" s="38">
        <v>45860</v>
      </c>
      <c r="C165" s="37" t="s">
        <v>51</v>
      </c>
      <c r="D165" s="37" t="s">
        <v>31</v>
      </c>
      <c r="E165" s="37" t="s">
        <v>18</v>
      </c>
      <c r="F165" s="39">
        <v>7</v>
      </c>
      <c r="G165" s="39">
        <v>3099</v>
      </c>
      <c r="H165" s="39">
        <v>1800</v>
      </c>
      <c r="I165" s="37" t="s">
        <v>41</v>
      </c>
      <c r="J165" s="37" t="s">
        <v>26</v>
      </c>
      <c r="K165" s="40">
        <f>Table1[[#This Row],[Quantity]]*Table1[[#This Row],[Unit Price]]</f>
        <v>21693</v>
      </c>
      <c r="L165" s="39">
        <f>Table1[[#This Row],[Revenue]]-Table1[[#This Row],[Cost Price]]*Table1[[#This Row],[Quantity]]</f>
        <v>9093</v>
      </c>
      <c r="M165" s="41">
        <f>IFERROR(Table1[[#This Row],[Profit]]/Table1[[#This Row],[Revenue]],"")</f>
        <v>0.41916747337850918</v>
      </c>
      <c r="N165" s="22"/>
      <c r="O165" s="49" t="s">
        <v>224</v>
      </c>
      <c r="P165" s="50" cm="1">
        <f t="array" ref="P165:AA165">_xlfn.XLOOKUP(O165,Table1[Order ID],Table1[[Order Date]:[Profit Margin]],0,0,1)</f>
        <v>45860</v>
      </c>
      <c r="Q165" s="37" t="str">
        <v>Bluetooth Speaker</v>
      </c>
      <c r="R165" s="37" t="str">
        <v>Electronics</v>
      </c>
      <c r="S165" s="37" t="str">
        <v>Central</v>
      </c>
      <c r="T165" s="37">
        <v>7</v>
      </c>
      <c r="U165" s="37">
        <v>3099</v>
      </c>
      <c r="V165" s="37">
        <v>1800</v>
      </c>
      <c r="W165" s="37" t="str">
        <v>Processing</v>
      </c>
      <c r="X165" s="37" t="str">
        <v>Credit Card</v>
      </c>
      <c r="Y165" s="37">
        <v>21693</v>
      </c>
      <c r="Z165" s="37">
        <v>9093</v>
      </c>
      <c r="AA165" s="51">
        <v>0.41916747337850918</v>
      </c>
      <c r="AB165" s="15"/>
    </row>
    <row r="166" spans="1:28" x14ac:dyDescent="0.3">
      <c r="A166" s="22" t="s">
        <v>120</v>
      </c>
      <c r="B166" s="23">
        <v>45861</v>
      </c>
      <c r="C166" s="22" t="s">
        <v>74</v>
      </c>
      <c r="D166" s="22" t="s">
        <v>31</v>
      </c>
      <c r="E166" s="22" t="s">
        <v>13</v>
      </c>
      <c r="F166" s="24">
        <v>4</v>
      </c>
      <c r="G166" s="24">
        <v>1799</v>
      </c>
      <c r="H166" s="24">
        <v>1200</v>
      </c>
      <c r="I166" s="22" t="s">
        <v>19</v>
      </c>
      <c r="J166" s="22" t="s">
        <v>55</v>
      </c>
      <c r="K166" s="25">
        <f>Table1[[#This Row],[Quantity]]*Table1[[#This Row],[Unit Price]]</f>
        <v>7196</v>
      </c>
      <c r="L166" s="24">
        <f>Table1[[#This Row],[Revenue]]-Table1[[#This Row],[Cost Price]]*Table1[[#This Row],[Quantity]]</f>
        <v>2396</v>
      </c>
      <c r="M166" s="26">
        <f>IFERROR(Table1[[#This Row],[Profit]]/Table1[[#This Row],[Revenue]],"")</f>
        <v>0.33296275708727069</v>
      </c>
      <c r="N166" s="22"/>
      <c r="O166" s="42" t="s">
        <v>120</v>
      </c>
      <c r="P166" s="27" cm="1">
        <f t="array" ref="P166:AA166">_xlfn.XLOOKUP(O166,Table1[Order ID],Table1[[Order Date]:[Profit Margin]],0,0,1)</f>
        <v>45861</v>
      </c>
      <c r="Q166" s="22" t="str">
        <v>Boat Headphones</v>
      </c>
      <c r="R166" s="22" t="str">
        <v>Electronics</v>
      </c>
      <c r="S166" s="22" t="str">
        <v>South</v>
      </c>
      <c r="T166" s="22">
        <v>4</v>
      </c>
      <c r="U166" s="22">
        <v>1799</v>
      </c>
      <c r="V166" s="22">
        <v>1200</v>
      </c>
      <c r="W166" s="22" t="str">
        <v>Delivered</v>
      </c>
      <c r="X166" s="22" t="str">
        <v>Net Banking</v>
      </c>
      <c r="Y166" s="22">
        <v>7196</v>
      </c>
      <c r="Z166" s="22">
        <v>2396</v>
      </c>
      <c r="AA166" s="43">
        <v>0.33296275708727069</v>
      </c>
      <c r="AB166" s="15"/>
    </row>
    <row r="167" spans="1:28" x14ac:dyDescent="0.3">
      <c r="A167" s="37" t="s">
        <v>305</v>
      </c>
      <c r="B167" s="38">
        <v>45863</v>
      </c>
      <c r="C167" s="37" t="s">
        <v>44</v>
      </c>
      <c r="D167" s="37" t="s">
        <v>31</v>
      </c>
      <c r="E167" s="37" t="s">
        <v>28</v>
      </c>
      <c r="F167" s="39">
        <v>3</v>
      </c>
      <c r="G167" s="39">
        <v>12799</v>
      </c>
      <c r="H167" s="39">
        <v>10800</v>
      </c>
      <c r="I167" s="37" t="s">
        <v>19</v>
      </c>
      <c r="J167" s="37" t="s">
        <v>26</v>
      </c>
      <c r="K167" s="40">
        <f>Table1[[#This Row],[Quantity]]*Table1[[#This Row],[Unit Price]]</f>
        <v>38397</v>
      </c>
      <c r="L167" s="39">
        <f>Table1[[#This Row],[Revenue]]-Table1[[#This Row],[Cost Price]]*Table1[[#This Row],[Quantity]]</f>
        <v>5997</v>
      </c>
      <c r="M167" s="41">
        <f>IFERROR(Table1[[#This Row],[Profit]]/Table1[[#This Row],[Revenue]],"")</f>
        <v>0.15618407688100633</v>
      </c>
      <c r="N167" s="22"/>
      <c r="O167" s="49" t="s">
        <v>305</v>
      </c>
      <c r="P167" s="50" cm="1">
        <f t="array" ref="P167:AA167">_xlfn.XLOOKUP(O167,Table1[Order ID],Table1[[Order Date]:[Profit Margin]],0,0,1)</f>
        <v>45863</v>
      </c>
      <c r="Q167" s="37" t="str">
        <v>Samsung Galaxy M14</v>
      </c>
      <c r="R167" s="37" t="str">
        <v>Electronics</v>
      </c>
      <c r="S167" s="37" t="str">
        <v>East</v>
      </c>
      <c r="T167" s="37">
        <v>3</v>
      </c>
      <c r="U167" s="37">
        <v>12799</v>
      </c>
      <c r="V167" s="37">
        <v>10800</v>
      </c>
      <c r="W167" s="37" t="str">
        <v>Delivered</v>
      </c>
      <c r="X167" s="37" t="str">
        <v>Credit Card</v>
      </c>
      <c r="Y167" s="37">
        <v>38397</v>
      </c>
      <c r="Z167" s="37">
        <v>5997</v>
      </c>
      <c r="AA167" s="51">
        <v>0.15618407688100633</v>
      </c>
      <c r="AB167" s="15"/>
    </row>
    <row r="168" spans="1:28" x14ac:dyDescent="0.3">
      <c r="A168" s="22" t="s">
        <v>167</v>
      </c>
      <c r="B168" s="23">
        <v>45865</v>
      </c>
      <c r="C168" s="22" t="s">
        <v>57</v>
      </c>
      <c r="D168" s="22" t="s">
        <v>17</v>
      </c>
      <c r="E168" s="22" t="s">
        <v>13</v>
      </c>
      <c r="F168" s="24">
        <v>8</v>
      </c>
      <c r="G168" s="24">
        <v>8799</v>
      </c>
      <c r="H168" s="24">
        <v>7000</v>
      </c>
      <c r="I168" s="22" t="s">
        <v>33</v>
      </c>
      <c r="J168" s="22" t="s">
        <v>34</v>
      </c>
      <c r="K168" s="25">
        <f>Table1[[#This Row],[Quantity]]*Table1[[#This Row],[Unit Price]]</f>
        <v>70392</v>
      </c>
      <c r="L168" s="24">
        <f>Table1[[#This Row],[Revenue]]-Table1[[#This Row],[Cost Price]]*Table1[[#This Row],[Quantity]]</f>
        <v>14392</v>
      </c>
      <c r="M168" s="26">
        <f>IFERROR(Table1[[#This Row],[Profit]]/Table1[[#This Row],[Revenue]],"")</f>
        <v>0.20445505171042164</v>
      </c>
      <c r="N168" s="22"/>
      <c r="O168" s="42" t="s">
        <v>167</v>
      </c>
      <c r="P168" s="27" cm="1">
        <f t="array" ref="P168:AA168">_xlfn.XLOOKUP(O168,Table1[Order ID],Table1[[Order Date]:[Profit Margin]],0,0,1)</f>
        <v>45865</v>
      </c>
      <c r="Q168" s="22" t="str">
        <v>Water Purifier</v>
      </c>
      <c r="R168" s="22" t="str">
        <v>Appliances</v>
      </c>
      <c r="S168" s="22" t="str">
        <v>South</v>
      </c>
      <c r="T168" s="22">
        <v>8</v>
      </c>
      <c r="U168" s="22">
        <v>8799</v>
      </c>
      <c r="V168" s="22">
        <v>7000</v>
      </c>
      <c r="W168" s="22" t="str">
        <v>Shipped</v>
      </c>
      <c r="X168" s="22" t="str">
        <v>UPI</v>
      </c>
      <c r="Y168" s="22">
        <v>70392</v>
      </c>
      <c r="Z168" s="22">
        <v>14392</v>
      </c>
      <c r="AA168" s="43">
        <v>0.20445505171042164</v>
      </c>
      <c r="AB168" s="15"/>
    </row>
    <row r="169" spans="1:28" x14ac:dyDescent="0.3">
      <c r="A169" s="37" t="s">
        <v>274</v>
      </c>
      <c r="B169" s="38">
        <v>45865</v>
      </c>
      <c r="C169" s="37" t="s">
        <v>54</v>
      </c>
      <c r="D169" s="37" t="s">
        <v>27</v>
      </c>
      <c r="E169" s="37" t="s">
        <v>32</v>
      </c>
      <c r="F169" s="39">
        <v>1</v>
      </c>
      <c r="G169" s="39">
        <v>499</v>
      </c>
      <c r="H169" s="39">
        <v>180</v>
      </c>
      <c r="I169" s="37" t="s">
        <v>19</v>
      </c>
      <c r="J169" s="37" t="s">
        <v>55</v>
      </c>
      <c r="K169" s="40">
        <f>Table1[[#This Row],[Quantity]]*Table1[[#This Row],[Unit Price]]</f>
        <v>499</v>
      </c>
      <c r="L169" s="39">
        <f>Table1[[#This Row],[Revenue]]-Table1[[#This Row],[Cost Price]]*Table1[[#This Row],[Quantity]]</f>
        <v>319</v>
      </c>
      <c r="M169" s="41">
        <f>IFERROR(Table1[[#This Row],[Profit]]/Table1[[#This Row],[Revenue]],"")</f>
        <v>0.63927855711422843</v>
      </c>
      <c r="N169" s="22"/>
      <c r="O169" s="49" t="s">
        <v>274</v>
      </c>
      <c r="P169" s="50" cm="1">
        <f t="array" ref="P169:AA169">_xlfn.XLOOKUP(O169,Table1[Order ID],Table1[[Order Date]:[Profit Margin]],0,0,1)</f>
        <v>45865</v>
      </c>
      <c r="Q169" s="37" t="str">
        <v>Printer Paper</v>
      </c>
      <c r="R169" s="37" t="str">
        <v>Stationery</v>
      </c>
      <c r="S169" s="37" t="str">
        <v>North</v>
      </c>
      <c r="T169" s="37">
        <v>1</v>
      </c>
      <c r="U169" s="37">
        <v>499</v>
      </c>
      <c r="V169" s="37">
        <v>180</v>
      </c>
      <c r="W169" s="37" t="str">
        <v>Delivered</v>
      </c>
      <c r="X169" s="37" t="str">
        <v>Net Banking</v>
      </c>
      <c r="Y169" s="37">
        <v>499</v>
      </c>
      <c r="Z169" s="37">
        <v>319</v>
      </c>
      <c r="AA169" s="51">
        <v>0.63927855711422843</v>
      </c>
      <c r="AB169" s="15"/>
    </row>
    <row r="170" spans="1:28" x14ac:dyDescent="0.3">
      <c r="A170" s="22" t="s">
        <v>182</v>
      </c>
      <c r="B170" s="23">
        <v>45866</v>
      </c>
      <c r="C170" s="22" t="s">
        <v>60</v>
      </c>
      <c r="D170" s="22" t="s">
        <v>31</v>
      </c>
      <c r="E170" s="22" t="s">
        <v>32</v>
      </c>
      <c r="F170" s="24">
        <v>8</v>
      </c>
      <c r="G170" s="24">
        <v>3499</v>
      </c>
      <c r="H170" s="24">
        <v>2400</v>
      </c>
      <c r="I170" s="22" t="s">
        <v>19</v>
      </c>
      <c r="J170" s="22" t="s">
        <v>26</v>
      </c>
      <c r="K170" s="25">
        <f>Table1[[#This Row],[Quantity]]*Table1[[#This Row],[Unit Price]]</f>
        <v>27992</v>
      </c>
      <c r="L170" s="24">
        <f>Table1[[#This Row],[Revenue]]-Table1[[#This Row],[Cost Price]]*Table1[[#This Row],[Quantity]]</f>
        <v>8792</v>
      </c>
      <c r="M170" s="26">
        <f>IFERROR(Table1[[#This Row],[Profit]]/Table1[[#This Row],[Revenue]],"")</f>
        <v>0.31408973992569306</v>
      </c>
      <c r="N170" s="22"/>
      <c r="O170" s="42" t="s">
        <v>182</v>
      </c>
      <c r="P170" s="27" cm="1">
        <f t="array" ref="P170:AA170">_xlfn.XLOOKUP(O170,Table1[Order ID],Table1[[Order Date]:[Profit Margin]],0,0,1)</f>
        <v>45866</v>
      </c>
      <c r="Q170" s="22" t="str">
        <v>Smart Watch</v>
      </c>
      <c r="R170" s="22" t="str">
        <v>Electronics</v>
      </c>
      <c r="S170" s="22" t="str">
        <v>North</v>
      </c>
      <c r="T170" s="22">
        <v>8</v>
      </c>
      <c r="U170" s="22">
        <v>3499</v>
      </c>
      <c r="V170" s="22">
        <v>2400</v>
      </c>
      <c r="W170" s="22" t="str">
        <v>Delivered</v>
      </c>
      <c r="X170" s="22" t="str">
        <v>Credit Card</v>
      </c>
      <c r="Y170" s="22">
        <v>27992</v>
      </c>
      <c r="Z170" s="22">
        <v>8792</v>
      </c>
      <c r="AA170" s="43">
        <v>0.31408973992569306</v>
      </c>
      <c r="AB170" s="15"/>
    </row>
    <row r="171" spans="1:28" x14ac:dyDescent="0.3">
      <c r="A171" s="37" t="s">
        <v>247</v>
      </c>
      <c r="B171" s="38">
        <v>45867</v>
      </c>
      <c r="C171" s="37" t="s">
        <v>54</v>
      </c>
      <c r="D171" s="37" t="s">
        <v>27</v>
      </c>
      <c r="E171" s="37" t="s">
        <v>18</v>
      </c>
      <c r="F171" s="39">
        <v>3</v>
      </c>
      <c r="G171" s="39">
        <v>199</v>
      </c>
      <c r="H171" s="39">
        <v>180</v>
      </c>
      <c r="I171" s="37" t="s">
        <v>24</v>
      </c>
      <c r="J171" s="37" t="s">
        <v>26</v>
      </c>
      <c r="K171" s="40">
        <f>Table1[[#This Row],[Quantity]]*Table1[[#This Row],[Unit Price]]</f>
        <v>597</v>
      </c>
      <c r="L171" s="39">
        <f>Table1[[#This Row],[Revenue]]-Table1[[#This Row],[Cost Price]]*Table1[[#This Row],[Quantity]]</f>
        <v>57</v>
      </c>
      <c r="M171" s="41">
        <f>IFERROR(Table1[[#This Row],[Profit]]/Table1[[#This Row],[Revenue]],"")</f>
        <v>9.5477386934673364E-2</v>
      </c>
      <c r="N171" s="22"/>
      <c r="O171" s="49" t="s">
        <v>247</v>
      </c>
      <c r="P171" s="50" cm="1">
        <f t="array" ref="P171:AA171">_xlfn.XLOOKUP(O171,Table1[Order ID],Table1[[Order Date]:[Profit Margin]],0,0,1)</f>
        <v>45867</v>
      </c>
      <c r="Q171" s="37" t="str">
        <v>Printer Paper</v>
      </c>
      <c r="R171" s="37" t="str">
        <v>Stationery</v>
      </c>
      <c r="S171" s="37" t="str">
        <v>Central</v>
      </c>
      <c r="T171" s="37">
        <v>3</v>
      </c>
      <c r="U171" s="37">
        <v>199</v>
      </c>
      <c r="V171" s="37">
        <v>180</v>
      </c>
      <c r="W171" s="37" t="str">
        <v>Cancelled</v>
      </c>
      <c r="X171" s="37" t="str">
        <v>Credit Card</v>
      </c>
      <c r="Y171" s="37">
        <v>597</v>
      </c>
      <c r="Z171" s="37">
        <v>57</v>
      </c>
      <c r="AA171" s="51">
        <v>9.5477386934673364E-2</v>
      </c>
      <c r="AB171" s="15"/>
    </row>
    <row r="172" spans="1:28" x14ac:dyDescent="0.3">
      <c r="A172" s="22" t="s">
        <v>53</v>
      </c>
      <c r="B172" s="23">
        <v>45868</v>
      </c>
      <c r="C172" s="22" t="s">
        <v>54</v>
      </c>
      <c r="D172" s="22" t="s">
        <v>27</v>
      </c>
      <c r="E172" s="22" t="s">
        <v>13</v>
      </c>
      <c r="F172" s="24">
        <v>10</v>
      </c>
      <c r="G172" s="24">
        <v>299</v>
      </c>
      <c r="H172" s="24">
        <v>180</v>
      </c>
      <c r="I172" s="22" t="s">
        <v>33</v>
      </c>
      <c r="J172" s="22" t="s">
        <v>55</v>
      </c>
      <c r="K172" s="25">
        <f>Table1[[#This Row],[Quantity]]*Table1[[#This Row],[Unit Price]]</f>
        <v>2990</v>
      </c>
      <c r="L172" s="24">
        <f>Table1[[#This Row],[Revenue]]-Table1[[#This Row],[Cost Price]]*Table1[[#This Row],[Quantity]]</f>
        <v>1190</v>
      </c>
      <c r="M172" s="26">
        <f>IFERROR(Table1[[#This Row],[Profit]]/Table1[[#This Row],[Revenue]],"")</f>
        <v>0.39799331103678931</v>
      </c>
      <c r="N172" s="22"/>
      <c r="O172" s="42" t="s">
        <v>53</v>
      </c>
      <c r="P172" s="27" cm="1">
        <f t="array" ref="P172:AA172">_xlfn.XLOOKUP(O172,Table1[Order ID],Table1[[Order Date]:[Profit Margin]],0,0,1)</f>
        <v>45868</v>
      </c>
      <c r="Q172" s="22" t="str">
        <v>Printer Paper</v>
      </c>
      <c r="R172" s="22" t="str">
        <v>Stationery</v>
      </c>
      <c r="S172" s="22" t="str">
        <v>South</v>
      </c>
      <c r="T172" s="22">
        <v>10</v>
      </c>
      <c r="U172" s="22">
        <v>299</v>
      </c>
      <c r="V172" s="22">
        <v>180</v>
      </c>
      <c r="W172" s="22" t="str">
        <v>Shipped</v>
      </c>
      <c r="X172" s="22" t="str">
        <v>Net Banking</v>
      </c>
      <c r="Y172" s="22">
        <v>2990</v>
      </c>
      <c r="Z172" s="22">
        <v>1190</v>
      </c>
      <c r="AA172" s="43">
        <v>0.39799331103678931</v>
      </c>
      <c r="AB172" s="15"/>
    </row>
    <row r="173" spans="1:28" x14ac:dyDescent="0.3">
      <c r="A173" s="37" t="s">
        <v>192</v>
      </c>
      <c r="B173" s="38">
        <v>45870</v>
      </c>
      <c r="C173" s="37" t="s">
        <v>30</v>
      </c>
      <c r="D173" s="37" t="s">
        <v>31</v>
      </c>
      <c r="E173" s="37" t="s">
        <v>28</v>
      </c>
      <c r="F173" s="39">
        <v>10</v>
      </c>
      <c r="G173" s="39">
        <v>16199</v>
      </c>
      <c r="H173" s="39">
        <v>13500</v>
      </c>
      <c r="I173" s="37" t="s">
        <v>41</v>
      </c>
      <c r="J173" s="37" t="s">
        <v>34</v>
      </c>
      <c r="K173" s="40">
        <f>Table1[[#This Row],[Quantity]]*Table1[[#This Row],[Unit Price]]</f>
        <v>161990</v>
      </c>
      <c r="L173" s="39">
        <f>Table1[[#This Row],[Revenue]]-Table1[[#This Row],[Cost Price]]*Table1[[#This Row],[Quantity]]</f>
        <v>26990</v>
      </c>
      <c r="M173" s="41">
        <f>IFERROR(Table1[[#This Row],[Profit]]/Table1[[#This Row],[Revenue]],"")</f>
        <v>0.16661522316192356</v>
      </c>
      <c r="N173" s="22"/>
      <c r="O173" s="49" t="s">
        <v>192</v>
      </c>
      <c r="P173" s="50" cm="1">
        <f t="array" ref="P173:AA173">_xlfn.XLOOKUP(O173,Table1[Order ID],Table1[[Order Date]:[Profit Margin]],0,0,1)</f>
        <v>45870</v>
      </c>
      <c r="Q173" s="37" t="str">
        <v>Redmi Note 13</v>
      </c>
      <c r="R173" s="37" t="str">
        <v>Electronics</v>
      </c>
      <c r="S173" s="37" t="str">
        <v>East</v>
      </c>
      <c r="T173" s="37">
        <v>10</v>
      </c>
      <c r="U173" s="37">
        <v>16199</v>
      </c>
      <c r="V173" s="37">
        <v>13500</v>
      </c>
      <c r="W173" s="37" t="str">
        <v>Processing</v>
      </c>
      <c r="X173" s="37" t="str">
        <v>UPI</v>
      </c>
      <c r="Y173" s="37">
        <v>161990</v>
      </c>
      <c r="Z173" s="37">
        <v>26990</v>
      </c>
      <c r="AA173" s="51">
        <v>0.16661522316192356</v>
      </c>
      <c r="AB173" s="15"/>
    </row>
    <row r="174" spans="1:28" x14ac:dyDescent="0.3">
      <c r="A174" s="22" t="s">
        <v>217</v>
      </c>
      <c r="B174" s="23">
        <v>45871</v>
      </c>
      <c r="C174" s="22" t="s">
        <v>51</v>
      </c>
      <c r="D174" s="22" t="s">
        <v>31</v>
      </c>
      <c r="E174" s="22" t="s">
        <v>23</v>
      </c>
      <c r="F174" s="24">
        <v>9</v>
      </c>
      <c r="G174" s="24">
        <v>2999</v>
      </c>
      <c r="H174" s="24">
        <v>1800</v>
      </c>
      <c r="I174" s="22" t="s">
        <v>19</v>
      </c>
      <c r="J174" s="22" t="s">
        <v>55</v>
      </c>
      <c r="K174" s="25">
        <f>Table1[[#This Row],[Quantity]]*Table1[[#This Row],[Unit Price]]</f>
        <v>26991</v>
      </c>
      <c r="L174" s="24">
        <f>Table1[[#This Row],[Revenue]]-Table1[[#This Row],[Cost Price]]*Table1[[#This Row],[Quantity]]</f>
        <v>10791</v>
      </c>
      <c r="M174" s="26">
        <f>IFERROR(Table1[[#This Row],[Profit]]/Table1[[#This Row],[Revenue]],"")</f>
        <v>0.39979993331110369</v>
      </c>
      <c r="N174" s="22"/>
      <c r="O174" s="42" t="s">
        <v>217</v>
      </c>
      <c r="P174" s="27" cm="1">
        <f t="array" ref="P174:AA174">_xlfn.XLOOKUP(O174,Table1[Order ID],Table1[[Order Date]:[Profit Margin]],0,0,1)</f>
        <v>45871</v>
      </c>
      <c r="Q174" s="22" t="str">
        <v>Bluetooth Speaker</v>
      </c>
      <c r="R174" s="22" t="str">
        <v>Electronics</v>
      </c>
      <c r="S174" s="22" t="str">
        <v>West</v>
      </c>
      <c r="T174" s="22">
        <v>9</v>
      </c>
      <c r="U174" s="22">
        <v>2999</v>
      </c>
      <c r="V174" s="22">
        <v>1800</v>
      </c>
      <c r="W174" s="22" t="str">
        <v>Delivered</v>
      </c>
      <c r="X174" s="22" t="str">
        <v>Net Banking</v>
      </c>
      <c r="Y174" s="22">
        <v>26991</v>
      </c>
      <c r="Z174" s="22">
        <v>10791</v>
      </c>
      <c r="AA174" s="43">
        <v>0.39979993331110369</v>
      </c>
      <c r="AB174" s="15"/>
    </row>
    <row r="175" spans="1:28" x14ac:dyDescent="0.3">
      <c r="A175" s="37" t="s">
        <v>292</v>
      </c>
      <c r="B175" s="38">
        <v>45871</v>
      </c>
      <c r="C175" s="37" t="s">
        <v>91</v>
      </c>
      <c r="D175" s="37" t="s">
        <v>38</v>
      </c>
      <c r="E175" s="37" t="s">
        <v>32</v>
      </c>
      <c r="F175" s="39">
        <v>5</v>
      </c>
      <c r="G175" s="39">
        <v>699</v>
      </c>
      <c r="H175" s="39">
        <v>500</v>
      </c>
      <c r="I175" s="37" t="s">
        <v>19</v>
      </c>
      <c r="J175" s="37" t="s">
        <v>55</v>
      </c>
      <c r="K175" s="40">
        <f>Table1[[#This Row],[Quantity]]*Table1[[#This Row],[Unit Price]]</f>
        <v>3495</v>
      </c>
      <c r="L175" s="39">
        <f>Table1[[#This Row],[Revenue]]-Table1[[#This Row],[Cost Price]]*Table1[[#This Row],[Quantity]]</f>
        <v>995</v>
      </c>
      <c r="M175" s="41">
        <f>IFERROR(Table1[[#This Row],[Profit]]/Table1[[#This Row],[Revenue]],"")</f>
        <v>0.28469241773962806</v>
      </c>
      <c r="N175" s="22"/>
      <c r="O175" s="49" t="s">
        <v>292</v>
      </c>
      <c r="P175" s="50" cm="1">
        <f t="array" ref="P175:AA175">_xlfn.XLOOKUP(O175,Table1[Order ID],Table1[[Order Date]:[Profit Margin]],0,0,1)</f>
        <v>45871</v>
      </c>
      <c r="Q175" s="37" t="str">
        <v>LED Desk Lamp</v>
      </c>
      <c r="R175" s="37" t="str">
        <v>Home Decor</v>
      </c>
      <c r="S175" s="37" t="str">
        <v>North</v>
      </c>
      <c r="T175" s="37">
        <v>5</v>
      </c>
      <c r="U175" s="37">
        <v>699</v>
      </c>
      <c r="V175" s="37">
        <v>500</v>
      </c>
      <c r="W175" s="37" t="str">
        <v>Delivered</v>
      </c>
      <c r="X175" s="37" t="str">
        <v>Net Banking</v>
      </c>
      <c r="Y175" s="37">
        <v>3495</v>
      </c>
      <c r="Z175" s="37">
        <v>995</v>
      </c>
      <c r="AA175" s="51">
        <v>0.28469241773962806</v>
      </c>
      <c r="AB175" s="15"/>
    </row>
    <row r="176" spans="1:28" x14ac:dyDescent="0.3">
      <c r="A176" s="22" t="s">
        <v>94</v>
      </c>
      <c r="B176" s="23">
        <v>45873</v>
      </c>
      <c r="C176" s="22" t="s">
        <v>54</v>
      </c>
      <c r="D176" s="22" t="s">
        <v>27</v>
      </c>
      <c r="E176" s="22" t="s">
        <v>28</v>
      </c>
      <c r="F176" s="24">
        <v>1</v>
      </c>
      <c r="G176" s="24">
        <v>199</v>
      </c>
      <c r="H176" s="24">
        <v>180</v>
      </c>
      <c r="I176" s="22" t="s">
        <v>33</v>
      </c>
      <c r="J176" s="22" t="s">
        <v>52</v>
      </c>
      <c r="K176" s="25">
        <f>Table1[[#This Row],[Quantity]]*Table1[[#This Row],[Unit Price]]</f>
        <v>199</v>
      </c>
      <c r="L176" s="24">
        <f>Table1[[#This Row],[Revenue]]-Table1[[#This Row],[Cost Price]]*Table1[[#This Row],[Quantity]]</f>
        <v>19</v>
      </c>
      <c r="M176" s="26">
        <f>IFERROR(Table1[[#This Row],[Profit]]/Table1[[#This Row],[Revenue]],"")</f>
        <v>9.5477386934673364E-2</v>
      </c>
      <c r="N176" s="22"/>
      <c r="O176" s="42" t="s">
        <v>94</v>
      </c>
      <c r="P176" s="27" cm="1">
        <f t="array" ref="P176:AA176">_xlfn.XLOOKUP(O176,Table1[Order ID],Table1[[Order Date]:[Profit Margin]],0,0,1)</f>
        <v>45873</v>
      </c>
      <c r="Q176" s="22" t="str">
        <v>Printer Paper</v>
      </c>
      <c r="R176" s="22" t="str">
        <v>Stationery</v>
      </c>
      <c r="S176" s="22" t="str">
        <v>East</v>
      </c>
      <c r="T176" s="22">
        <v>1</v>
      </c>
      <c r="U176" s="22">
        <v>199</v>
      </c>
      <c r="V176" s="22">
        <v>180</v>
      </c>
      <c r="W176" s="22" t="str">
        <v>Shipped</v>
      </c>
      <c r="X176" s="22" t="str">
        <v>Cash</v>
      </c>
      <c r="Y176" s="22">
        <v>199</v>
      </c>
      <c r="Z176" s="22">
        <v>19</v>
      </c>
      <c r="AA176" s="43">
        <v>9.5477386934673364E-2</v>
      </c>
      <c r="AB176" s="15"/>
    </row>
    <row r="177" spans="1:28" x14ac:dyDescent="0.3">
      <c r="A177" s="37" t="s">
        <v>157</v>
      </c>
      <c r="B177" s="38">
        <v>45876</v>
      </c>
      <c r="C177" s="37" t="s">
        <v>37</v>
      </c>
      <c r="D177" s="37" t="s">
        <v>38</v>
      </c>
      <c r="E177" s="37" t="s">
        <v>18</v>
      </c>
      <c r="F177" s="39">
        <v>2</v>
      </c>
      <c r="G177" s="39">
        <v>449</v>
      </c>
      <c r="H177" s="39">
        <v>90</v>
      </c>
      <c r="I177" s="37" t="s">
        <v>19</v>
      </c>
      <c r="J177" s="37" t="s">
        <v>34</v>
      </c>
      <c r="K177" s="40">
        <f>Table1[[#This Row],[Quantity]]*Table1[[#This Row],[Unit Price]]</f>
        <v>898</v>
      </c>
      <c r="L177" s="39">
        <f>Table1[[#This Row],[Revenue]]-Table1[[#This Row],[Cost Price]]*Table1[[#This Row],[Quantity]]</f>
        <v>718</v>
      </c>
      <c r="M177" s="41">
        <f>IFERROR(Table1[[#This Row],[Profit]]/Table1[[#This Row],[Revenue]],"")</f>
        <v>0.79955456570155903</v>
      </c>
      <c r="N177" s="22"/>
      <c r="O177" s="49" t="s">
        <v>157</v>
      </c>
      <c r="P177" s="50" cm="1">
        <f t="array" ref="P177:AA177">_xlfn.XLOOKUP(O177,Table1[Order ID],Table1[[Order Date]:[Profit Margin]],0,0,1)</f>
        <v>45876</v>
      </c>
      <c r="Q177" s="37" t="str">
        <v>Coffee Mug</v>
      </c>
      <c r="R177" s="37" t="str">
        <v>Home Decor</v>
      </c>
      <c r="S177" s="37" t="str">
        <v>Central</v>
      </c>
      <c r="T177" s="37">
        <v>2</v>
      </c>
      <c r="U177" s="37">
        <v>449</v>
      </c>
      <c r="V177" s="37">
        <v>90</v>
      </c>
      <c r="W177" s="37" t="str">
        <v>Delivered</v>
      </c>
      <c r="X177" s="37" t="str">
        <v>UPI</v>
      </c>
      <c r="Y177" s="37">
        <v>898</v>
      </c>
      <c r="Z177" s="37">
        <v>718</v>
      </c>
      <c r="AA177" s="51">
        <v>0.79955456570155903</v>
      </c>
      <c r="AB177" s="15"/>
    </row>
    <row r="178" spans="1:28" x14ac:dyDescent="0.3">
      <c r="A178" s="22" t="s">
        <v>251</v>
      </c>
      <c r="B178" s="23">
        <v>45876</v>
      </c>
      <c r="C178" s="22" t="s">
        <v>57</v>
      </c>
      <c r="D178" s="22" t="s">
        <v>17</v>
      </c>
      <c r="E178" s="22" t="s">
        <v>32</v>
      </c>
      <c r="F178" s="24">
        <v>6</v>
      </c>
      <c r="G178" s="24">
        <v>8899</v>
      </c>
      <c r="H178" s="24">
        <v>7000</v>
      </c>
      <c r="I178" s="22" t="s">
        <v>19</v>
      </c>
      <c r="J178" s="22" t="s">
        <v>34</v>
      </c>
      <c r="K178" s="25">
        <f>Table1[[#This Row],[Quantity]]*Table1[[#This Row],[Unit Price]]</f>
        <v>53394</v>
      </c>
      <c r="L178" s="24">
        <f>Table1[[#This Row],[Revenue]]-Table1[[#This Row],[Cost Price]]*Table1[[#This Row],[Quantity]]</f>
        <v>11394</v>
      </c>
      <c r="M178" s="26">
        <f>IFERROR(Table1[[#This Row],[Profit]]/Table1[[#This Row],[Revenue]],"")</f>
        <v>0.21339476345656816</v>
      </c>
      <c r="N178" s="22"/>
      <c r="O178" s="42" t="s">
        <v>251</v>
      </c>
      <c r="P178" s="27" cm="1">
        <f t="array" ref="P178:AA178">_xlfn.XLOOKUP(O178,Table1[Order ID],Table1[[Order Date]:[Profit Margin]],0,0,1)</f>
        <v>45876</v>
      </c>
      <c r="Q178" s="22" t="str">
        <v>Water Purifier</v>
      </c>
      <c r="R178" s="22" t="str">
        <v>Appliances</v>
      </c>
      <c r="S178" s="22" t="str">
        <v>North</v>
      </c>
      <c r="T178" s="22">
        <v>6</v>
      </c>
      <c r="U178" s="22">
        <v>8899</v>
      </c>
      <c r="V178" s="22">
        <v>7000</v>
      </c>
      <c r="W178" s="22" t="str">
        <v>Delivered</v>
      </c>
      <c r="X178" s="22" t="str">
        <v>UPI</v>
      </c>
      <c r="Y178" s="22">
        <v>53394</v>
      </c>
      <c r="Z178" s="22">
        <v>11394</v>
      </c>
      <c r="AA178" s="43">
        <v>0.21339476345656816</v>
      </c>
      <c r="AB178" s="15"/>
    </row>
    <row r="179" spans="1:28" x14ac:dyDescent="0.3">
      <c r="A179" s="37" t="s">
        <v>188</v>
      </c>
      <c r="B179" s="38">
        <v>45877</v>
      </c>
      <c r="C179" s="37" t="s">
        <v>11</v>
      </c>
      <c r="D179" s="37" t="s">
        <v>12</v>
      </c>
      <c r="E179" s="37" t="s">
        <v>18</v>
      </c>
      <c r="F179" s="39">
        <v>2</v>
      </c>
      <c r="G179" s="39">
        <v>7099</v>
      </c>
      <c r="H179" s="39">
        <v>5000</v>
      </c>
      <c r="I179" s="37" t="s">
        <v>19</v>
      </c>
      <c r="J179" s="37" t="s">
        <v>34</v>
      </c>
      <c r="K179" s="40">
        <f>Table1[[#This Row],[Quantity]]*Table1[[#This Row],[Unit Price]]</f>
        <v>14198</v>
      </c>
      <c r="L179" s="39">
        <f>Table1[[#This Row],[Revenue]]-Table1[[#This Row],[Cost Price]]*Table1[[#This Row],[Quantity]]</f>
        <v>4198</v>
      </c>
      <c r="M179" s="41">
        <f>IFERROR(Table1[[#This Row],[Profit]]/Table1[[#This Row],[Revenue]],"")</f>
        <v>0.29567544724609102</v>
      </c>
      <c r="N179" s="22"/>
      <c r="O179" s="49" t="s">
        <v>188</v>
      </c>
      <c r="P179" s="50" cm="1">
        <f t="array" ref="P179:AA179">_xlfn.XLOOKUP(O179,Table1[Order ID],Table1[[Order Date]:[Profit Margin]],0,0,1)</f>
        <v>45877</v>
      </c>
      <c r="Q179" s="37" t="str">
        <v>Study Table</v>
      </c>
      <c r="R179" s="37" t="str">
        <v>Furniture</v>
      </c>
      <c r="S179" s="37" t="str">
        <v>Central</v>
      </c>
      <c r="T179" s="37">
        <v>2</v>
      </c>
      <c r="U179" s="37">
        <v>7099</v>
      </c>
      <c r="V179" s="37">
        <v>5000</v>
      </c>
      <c r="W179" s="37" t="str">
        <v>Delivered</v>
      </c>
      <c r="X179" s="37" t="str">
        <v>UPI</v>
      </c>
      <c r="Y179" s="37">
        <v>14198</v>
      </c>
      <c r="Z179" s="37">
        <v>4198</v>
      </c>
      <c r="AA179" s="51">
        <v>0.29567544724609102</v>
      </c>
      <c r="AB179" s="15"/>
    </row>
    <row r="180" spans="1:28" x14ac:dyDescent="0.3">
      <c r="A180" s="22" t="s">
        <v>307</v>
      </c>
      <c r="B180" s="23">
        <v>45878</v>
      </c>
      <c r="C180" s="22" t="s">
        <v>57</v>
      </c>
      <c r="D180" s="22" t="s">
        <v>17</v>
      </c>
      <c r="E180" s="22" t="s">
        <v>32</v>
      </c>
      <c r="F180" s="24">
        <v>3</v>
      </c>
      <c r="G180" s="24">
        <v>8799</v>
      </c>
      <c r="H180" s="24">
        <v>7000</v>
      </c>
      <c r="I180" s="22" t="s">
        <v>14</v>
      </c>
      <c r="J180" s="22" t="s">
        <v>47</v>
      </c>
      <c r="K180" s="25">
        <f>Table1[[#This Row],[Quantity]]*Table1[[#This Row],[Unit Price]]</f>
        <v>26397</v>
      </c>
      <c r="L180" s="24">
        <f>Table1[[#This Row],[Revenue]]-Table1[[#This Row],[Cost Price]]*Table1[[#This Row],[Quantity]]</f>
        <v>5397</v>
      </c>
      <c r="M180" s="26">
        <f>IFERROR(Table1[[#This Row],[Profit]]/Table1[[#This Row],[Revenue]],"")</f>
        <v>0.20445505171042164</v>
      </c>
      <c r="N180" s="22"/>
      <c r="O180" s="42" t="s">
        <v>307</v>
      </c>
      <c r="P180" s="27" cm="1">
        <f t="array" ref="P180:AA180">_xlfn.XLOOKUP(O180,Table1[Order ID],Table1[[Order Date]:[Profit Margin]],0,0,1)</f>
        <v>45878</v>
      </c>
      <c r="Q180" s="22" t="str">
        <v>Water Purifier</v>
      </c>
      <c r="R180" s="22" t="str">
        <v>Appliances</v>
      </c>
      <c r="S180" s="22" t="str">
        <v>North</v>
      </c>
      <c r="T180" s="22">
        <v>3</v>
      </c>
      <c r="U180" s="22">
        <v>8799</v>
      </c>
      <c r="V180" s="22">
        <v>7000</v>
      </c>
      <c r="W180" s="22" t="str">
        <v>Returned</v>
      </c>
      <c r="X180" s="22" t="str">
        <v>Debit Card</v>
      </c>
      <c r="Y180" s="22">
        <v>26397</v>
      </c>
      <c r="Z180" s="22">
        <v>5397</v>
      </c>
      <c r="AA180" s="43">
        <v>0.20445505171042164</v>
      </c>
      <c r="AB180" s="15"/>
    </row>
    <row r="181" spans="1:28" x14ac:dyDescent="0.3">
      <c r="A181" s="37" t="s">
        <v>10</v>
      </c>
      <c r="B181" s="38">
        <v>45879</v>
      </c>
      <c r="C181" s="37" t="s">
        <v>11</v>
      </c>
      <c r="D181" s="37" t="s">
        <v>12</v>
      </c>
      <c r="E181" s="37" t="s">
        <v>13</v>
      </c>
      <c r="F181" s="39">
        <v>2</v>
      </c>
      <c r="G181" s="39">
        <v>6999</v>
      </c>
      <c r="H181" s="39">
        <v>5000</v>
      </c>
      <c r="I181" s="37" t="s">
        <v>14</v>
      </c>
      <c r="J181" s="37" t="s">
        <v>26</v>
      </c>
      <c r="K181" s="40">
        <f>Table1[[#This Row],[Quantity]]*Table1[[#This Row],[Unit Price]]</f>
        <v>13998</v>
      </c>
      <c r="L181" s="39">
        <f>Table1[[#This Row],[Revenue]]-Table1[[#This Row],[Cost Price]]*Table1[[#This Row],[Quantity]]</f>
        <v>3998</v>
      </c>
      <c r="M181" s="41">
        <f>IFERROR(Table1[[#This Row],[Profit]]/Table1[[#This Row],[Revenue]],"")</f>
        <v>0.28561223031861693</v>
      </c>
      <c r="N181" s="22"/>
      <c r="O181" s="49" t="s">
        <v>10</v>
      </c>
      <c r="P181" s="50" cm="1">
        <f t="array" ref="P181:AA181">_xlfn.XLOOKUP(O181,Table1[Order ID],Table1[[Order Date]:[Profit Margin]],0,0,1)</f>
        <v>45879</v>
      </c>
      <c r="Q181" s="37" t="str">
        <v>Study Table</v>
      </c>
      <c r="R181" s="37" t="str">
        <v>Furniture</v>
      </c>
      <c r="S181" s="37" t="str">
        <v>South</v>
      </c>
      <c r="T181" s="37">
        <v>2</v>
      </c>
      <c r="U181" s="37">
        <v>6999</v>
      </c>
      <c r="V181" s="37">
        <v>5000</v>
      </c>
      <c r="W181" s="37" t="str">
        <v>Returned</v>
      </c>
      <c r="X181" s="37" t="str">
        <v>Credit Card</v>
      </c>
      <c r="Y181" s="37">
        <v>13998</v>
      </c>
      <c r="Z181" s="37">
        <v>3998</v>
      </c>
      <c r="AA181" s="51">
        <v>0.28561223031861693</v>
      </c>
      <c r="AB181" s="15"/>
    </row>
    <row r="182" spans="1:28" x14ac:dyDescent="0.3">
      <c r="A182" s="22" t="s">
        <v>280</v>
      </c>
      <c r="B182" s="23">
        <v>45880</v>
      </c>
      <c r="C182" s="22" t="s">
        <v>21</v>
      </c>
      <c r="D182" s="22" t="s">
        <v>22</v>
      </c>
      <c r="E182" s="22" t="s">
        <v>32</v>
      </c>
      <c r="F182" s="24">
        <v>9</v>
      </c>
      <c r="G182" s="24">
        <v>699</v>
      </c>
      <c r="H182" s="24">
        <v>350</v>
      </c>
      <c r="I182" s="22" t="s">
        <v>41</v>
      </c>
      <c r="J182" s="22" t="s">
        <v>34</v>
      </c>
      <c r="K182" s="25">
        <f>Table1[[#This Row],[Quantity]]*Table1[[#This Row],[Unit Price]]</f>
        <v>6291</v>
      </c>
      <c r="L182" s="24">
        <f>Table1[[#This Row],[Revenue]]-Table1[[#This Row],[Cost Price]]*Table1[[#This Row],[Quantity]]</f>
        <v>3141</v>
      </c>
      <c r="M182" s="26">
        <f>IFERROR(Table1[[#This Row],[Profit]]/Table1[[#This Row],[Revenue]],"")</f>
        <v>0.49928469241773965</v>
      </c>
      <c r="N182" s="22"/>
      <c r="O182" s="42" t="s">
        <v>280</v>
      </c>
      <c r="P182" s="27" cm="1">
        <f t="array" ref="P182:AA182">_xlfn.XLOOKUP(O182,Table1[Order ID],Table1[[Order Date]:[Profit Margin]],0,0,1)</f>
        <v>45880</v>
      </c>
      <c r="Q182" s="22" t="str">
        <v>Cotton T-Shirt</v>
      </c>
      <c r="R182" s="22" t="str">
        <v>Fashion</v>
      </c>
      <c r="S182" s="22" t="str">
        <v>North</v>
      </c>
      <c r="T182" s="22">
        <v>9</v>
      </c>
      <c r="U182" s="22">
        <v>699</v>
      </c>
      <c r="V182" s="22">
        <v>350</v>
      </c>
      <c r="W182" s="22" t="str">
        <v>Processing</v>
      </c>
      <c r="X182" s="22" t="str">
        <v>UPI</v>
      </c>
      <c r="Y182" s="22">
        <v>6291</v>
      </c>
      <c r="Z182" s="22">
        <v>3141</v>
      </c>
      <c r="AA182" s="43">
        <v>0.49928469241773965</v>
      </c>
      <c r="AB182" s="15"/>
    </row>
    <row r="183" spans="1:28" x14ac:dyDescent="0.3">
      <c r="A183" s="37" t="s">
        <v>130</v>
      </c>
      <c r="B183" s="38">
        <v>45881</v>
      </c>
      <c r="C183" s="37" t="s">
        <v>57</v>
      </c>
      <c r="D183" s="37" t="s">
        <v>17</v>
      </c>
      <c r="E183" s="37" t="s">
        <v>32</v>
      </c>
      <c r="F183" s="39">
        <v>2</v>
      </c>
      <c r="G183" s="39">
        <v>8799</v>
      </c>
      <c r="H183" s="39">
        <v>7000</v>
      </c>
      <c r="I183" s="37" t="s">
        <v>41</v>
      </c>
      <c r="J183" s="37" t="s">
        <v>55</v>
      </c>
      <c r="K183" s="40">
        <f>Table1[[#This Row],[Quantity]]*Table1[[#This Row],[Unit Price]]</f>
        <v>17598</v>
      </c>
      <c r="L183" s="39">
        <f>Table1[[#This Row],[Revenue]]-Table1[[#This Row],[Cost Price]]*Table1[[#This Row],[Quantity]]</f>
        <v>3598</v>
      </c>
      <c r="M183" s="41">
        <f>IFERROR(Table1[[#This Row],[Profit]]/Table1[[#This Row],[Revenue]],"")</f>
        <v>0.20445505171042164</v>
      </c>
      <c r="N183" s="22"/>
      <c r="O183" s="49" t="s">
        <v>130</v>
      </c>
      <c r="P183" s="50" cm="1">
        <f t="array" ref="P183:AA183">_xlfn.XLOOKUP(O183,Table1[Order ID],Table1[[Order Date]:[Profit Margin]],0,0,1)</f>
        <v>45881</v>
      </c>
      <c r="Q183" s="37" t="str">
        <v>Water Purifier</v>
      </c>
      <c r="R183" s="37" t="str">
        <v>Appliances</v>
      </c>
      <c r="S183" s="37" t="str">
        <v>North</v>
      </c>
      <c r="T183" s="37">
        <v>2</v>
      </c>
      <c r="U183" s="37">
        <v>8799</v>
      </c>
      <c r="V183" s="37">
        <v>7000</v>
      </c>
      <c r="W183" s="37" t="str">
        <v>Processing</v>
      </c>
      <c r="X183" s="37" t="str">
        <v>Net Banking</v>
      </c>
      <c r="Y183" s="37">
        <v>17598</v>
      </c>
      <c r="Z183" s="37">
        <v>3598</v>
      </c>
      <c r="AA183" s="51">
        <v>0.20445505171042164</v>
      </c>
      <c r="AB183" s="15"/>
    </row>
    <row r="184" spans="1:28" x14ac:dyDescent="0.3">
      <c r="A184" s="22" t="s">
        <v>79</v>
      </c>
      <c r="B184" s="23">
        <v>45882</v>
      </c>
      <c r="C184" s="22" t="s">
        <v>54</v>
      </c>
      <c r="D184" s="22" t="s">
        <v>27</v>
      </c>
      <c r="E184" s="22" t="s">
        <v>28</v>
      </c>
      <c r="F184" s="24">
        <v>7</v>
      </c>
      <c r="G184" s="24">
        <v>599</v>
      </c>
      <c r="H184" s="24">
        <v>180</v>
      </c>
      <c r="I184" s="22" t="s">
        <v>19</v>
      </c>
      <c r="J184" s="22" t="s">
        <v>55</v>
      </c>
      <c r="K184" s="25">
        <f>Table1[[#This Row],[Quantity]]*Table1[[#This Row],[Unit Price]]</f>
        <v>4193</v>
      </c>
      <c r="L184" s="24">
        <f>Table1[[#This Row],[Revenue]]-Table1[[#This Row],[Cost Price]]*Table1[[#This Row],[Quantity]]</f>
        <v>2933</v>
      </c>
      <c r="M184" s="26">
        <f>IFERROR(Table1[[#This Row],[Profit]]/Table1[[#This Row],[Revenue]],"")</f>
        <v>0.69949916527545908</v>
      </c>
      <c r="N184" s="22"/>
      <c r="O184" s="42" t="s">
        <v>79</v>
      </c>
      <c r="P184" s="27" cm="1">
        <f t="array" ref="P184:AA184">_xlfn.XLOOKUP(O184,Table1[Order ID],Table1[[Order Date]:[Profit Margin]],0,0,1)</f>
        <v>45882</v>
      </c>
      <c r="Q184" s="22" t="str">
        <v>Printer Paper</v>
      </c>
      <c r="R184" s="22" t="str">
        <v>Stationery</v>
      </c>
      <c r="S184" s="22" t="str">
        <v>East</v>
      </c>
      <c r="T184" s="22">
        <v>7</v>
      </c>
      <c r="U184" s="22">
        <v>599</v>
      </c>
      <c r="V184" s="22">
        <v>180</v>
      </c>
      <c r="W184" s="22" t="str">
        <v>Delivered</v>
      </c>
      <c r="X184" s="22" t="str">
        <v>Net Banking</v>
      </c>
      <c r="Y184" s="22">
        <v>4193</v>
      </c>
      <c r="Z184" s="22">
        <v>2933</v>
      </c>
      <c r="AA184" s="43">
        <v>0.69949916527545908</v>
      </c>
      <c r="AB184" s="15"/>
    </row>
    <row r="185" spans="1:28" x14ac:dyDescent="0.3">
      <c r="A185" s="37" t="s">
        <v>213</v>
      </c>
      <c r="B185" s="38">
        <v>45882</v>
      </c>
      <c r="C185" s="37" t="s">
        <v>11</v>
      </c>
      <c r="D185" s="37" t="s">
        <v>12</v>
      </c>
      <c r="E185" s="37" t="s">
        <v>28</v>
      </c>
      <c r="F185" s="39">
        <v>7</v>
      </c>
      <c r="G185" s="39">
        <v>7199</v>
      </c>
      <c r="H185" s="39">
        <v>5000</v>
      </c>
      <c r="I185" s="37" t="s">
        <v>19</v>
      </c>
      <c r="J185" s="37" t="s">
        <v>47</v>
      </c>
      <c r="K185" s="40">
        <f>Table1[[#This Row],[Quantity]]*Table1[[#This Row],[Unit Price]]</f>
        <v>50393</v>
      </c>
      <c r="L185" s="39">
        <f>Table1[[#This Row],[Revenue]]-Table1[[#This Row],[Cost Price]]*Table1[[#This Row],[Quantity]]</f>
        <v>15393</v>
      </c>
      <c r="M185" s="41">
        <f>IFERROR(Table1[[#This Row],[Profit]]/Table1[[#This Row],[Revenue]],"")</f>
        <v>0.30545909154049172</v>
      </c>
      <c r="N185" s="22"/>
      <c r="O185" s="49" t="s">
        <v>213</v>
      </c>
      <c r="P185" s="50" cm="1">
        <f t="array" ref="P185:AA185">_xlfn.XLOOKUP(O185,Table1[Order ID],Table1[[Order Date]:[Profit Margin]],0,0,1)</f>
        <v>45882</v>
      </c>
      <c r="Q185" s="37" t="str">
        <v>Study Table</v>
      </c>
      <c r="R185" s="37" t="str">
        <v>Furniture</v>
      </c>
      <c r="S185" s="37" t="str">
        <v>East</v>
      </c>
      <c r="T185" s="37">
        <v>7</v>
      </c>
      <c r="U185" s="37">
        <v>7199</v>
      </c>
      <c r="V185" s="37">
        <v>5000</v>
      </c>
      <c r="W185" s="37" t="str">
        <v>Delivered</v>
      </c>
      <c r="X185" s="37" t="str">
        <v>Debit Card</v>
      </c>
      <c r="Y185" s="37">
        <v>50393</v>
      </c>
      <c r="Z185" s="37">
        <v>15393</v>
      </c>
      <c r="AA185" s="51">
        <v>0.30545909154049172</v>
      </c>
      <c r="AB185" s="15"/>
    </row>
    <row r="186" spans="1:28" x14ac:dyDescent="0.3">
      <c r="A186" s="22" t="s">
        <v>111</v>
      </c>
      <c r="B186" s="23">
        <v>45883</v>
      </c>
      <c r="C186" s="22" t="s">
        <v>46</v>
      </c>
      <c r="D186" s="22" t="s">
        <v>27</v>
      </c>
      <c r="E186" s="22" t="s">
        <v>23</v>
      </c>
      <c r="F186" s="24">
        <v>3</v>
      </c>
      <c r="G186" s="24">
        <v>299</v>
      </c>
      <c r="H186" s="24">
        <v>120</v>
      </c>
      <c r="I186" s="22" t="s">
        <v>14</v>
      </c>
      <c r="J186" s="22" t="s">
        <v>34</v>
      </c>
      <c r="K186" s="25">
        <f>Table1[[#This Row],[Quantity]]*Table1[[#This Row],[Unit Price]]</f>
        <v>897</v>
      </c>
      <c r="L186" s="24">
        <f>Table1[[#This Row],[Revenue]]-Table1[[#This Row],[Cost Price]]*Table1[[#This Row],[Quantity]]</f>
        <v>537</v>
      </c>
      <c r="M186" s="26">
        <f>IFERROR(Table1[[#This Row],[Profit]]/Table1[[#This Row],[Revenue]],"")</f>
        <v>0.59866220735785958</v>
      </c>
      <c r="N186" s="22"/>
      <c r="O186" s="42" t="s">
        <v>111</v>
      </c>
      <c r="P186" s="27" cm="1">
        <f t="array" ref="P186:AA186">_xlfn.XLOOKUP(O186,Table1[Order ID],Table1[[Order Date]:[Profit Margin]],0,0,1)</f>
        <v>45883</v>
      </c>
      <c r="Q186" s="22" t="str">
        <v>Notebook Pack</v>
      </c>
      <c r="R186" s="22" t="str">
        <v>Stationery</v>
      </c>
      <c r="S186" s="22" t="str">
        <v>West</v>
      </c>
      <c r="T186" s="22">
        <v>3</v>
      </c>
      <c r="U186" s="22">
        <v>299</v>
      </c>
      <c r="V186" s="22">
        <v>120</v>
      </c>
      <c r="W186" s="22" t="str">
        <v>Returned</v>
      </c>
      <c r="X186" s="22" t="str">
        <v>UPI</v>
      </c>
      <c r="Y186" s="22">
        <v>897</v>
      </c>
      <c r="Z186" s="22">
        <v>537</v>
      </c>
      <c r="AA186" s="43">
        <v>0.59866220735785958</v>
      </c>
      <c r="AB186" s="15"/>
    </row>
    <row r="187" spans="1:28" x14ac:dyDescent="0.3">
      <c r="A187" s="37" t="s">
        <v>294</v>
      </c>
      <c r="B187" s="38">
        <v>45883</v>
      </c>
      <c r="C187" s="37" t="s">
        <v>49</v>
      </c>
      <c r="D187" s="37" t="s">
        <v>22</v>
      </c>
      <c r="E187" s="37" t="s">
        <v>23</v>
      </c>
      <c r="F187" s="39">
        <v>10</v>
      </c>
      <c r="G187" s="39">
        <v>2499</v>
      </c>
      <c r="H187" s="39">
        <v>1400</v>
      </c>
      <c r="I187" s="37" t="s">
        <v>19</v>
      </c>
      <c r="J187" s="37" t="s">
        <v>26</v>
      </c>
      <c r="K187" s="40">
        <f>Table1[[#This Row],[Quantity]]*Table1[[#This Row],[Unit Price]]</f>
        <v>24990</v>
      </c>
      <c r="L187" s="39">
        <f>Table1[[#This Row],[Revenue]]-Table1[[#This Row],[Cost Price]]*Table1[[#This Row],[Quantity]]</f>
        <v>10990</v>
      </c>
      <c r="M187" s="41">
        <f>IFERROR(Table1[[#This Row],[Profit]]/Table1[[#This Row],[Revenue]],"")</f>
        <v>0.43977591036414565</v>
      </c>
      <c r="N187" s="22"/>
      <c r="O187" s="49" t="s">
        <v>294</v>
      </c>
      <c r="P187" s="50" cm="1">
        <f t="array" ref="P187:AA187">_xlfn.XLOOKUP(O187,Table1[Order ID],Table1[[Order Date]:[Profit Margin]],0,0,1)</f>
        <v>45883</v>
      </c>
      <c r="Q187" s="37" t="str">
        <v>Running Shoes</v>
      </c>
      <c r="R187" s="37" t="str">
        <v>Fashion</v>
      </c>
      <c r="S187" s="37" t="str">
        <v>West</v>
      </c>
      <c r="T187" s="37">
        <v>10</v>
      </c>
      <c r="U187" s="37">
        <v>2499</v>
      </c>
      <c r="V187" s="37">
        <v>1400</v>
      </c>
      <c r="W187" s="37" t="str">
        <v>Delivered</v>
      </c>
      <c r="X187" s="37" t="str">
        <v>Credit Card</v>
      </c>
      <c r="Y187" s="37">
        <v>24990</v>
      </c>
      <c r="Z187" s="37">
        <v>10990</v>
      </c>
      <c r="AA187" s="51">
        <v>0.43977591036414565</v>
      </c>
      <c r="AB187" s="15"/>
    </row>
    <row r="188" spans="1:28" x14ac:dyDescent="0.3">
      <c r="A188" s="22" t="s">
        <v>124</v>
      </c>
      <c r="B188" s="23">
        <v>45884</v>
      </c>
      <c r="C188" s="22" t="s">
        <v>46</v>
      </c>
      <c r="D188" s="22" t="s">
        <v>27</v>
      </c>
      <c r="E188" s="22" t="s">
        <v>18</v>
      </c>
      <c r="F188" s="24">
        <v>2</v>
      </c>
      <c r="G188" s="24">
        <v>499</v>
      </c>
      <c r="H188" s="24">
        <v>120</v>
      </c>
      <c r="I188" s="22" t="s">
        <v>14</v>
      </c>
      <c r="J188" s="22" t="s">
        <v>26</v>
      </c>
      <c r="K188" s="25">
        <f>Table1[[#This Row],[Quantity]]*Table1[[#This Row],[Unit Price]]</f>
        <v>998</v>
      </c>
      <c r="L188" s="24">
        <f>Table1[[#This Row],[Revenue]]-Table1[[#This Row],[Cost Price]]*Table1[[#This Row],[Quantity]]</f>
        <v>758</v>
      </c>
      <c r="M188" s="26">
        <f>IFERROR(Table1[[#This Row],[Profit]]/Table1[[#This Row],[Revenue]],"")</f>
        <v>0.75951903807615229</v>
      </c>
      <c r="N188" s="22"/>
      <c r="O188" s="42" t="s">
        <v>124</v>
      </c>
      <c r="P188" s="27" cm="1">
        <f t="array" ref="P188:AA188">_xlfn.XLOOKUP(O188,Table1[Order ID],Table1[[Order Date]:[Profit Margin]],0,0,1)</f>
        <v>45884</v>
      </c>
      <c r="Q188" s="22" t="str">
        <v>Notebook Pack</v>
      </c>
      <c r="R188" s="22" t="str">
        <v>Stationery</v>
      </c>
      <c r="S188" s="22" t="str">
        <v>Central</v>
      </c>
      <c r="T188" s="22">
        <v>2</v>
      </c>
      <c r="U188" s="22">
        <v>499</v>
      </c>
      <c r="V188" s="22">
        <v>120</v>
      </c>
      <c r="W188" s="22" t="str">
        <v>Returned</v>
      </c>
      <c r="X188" s="22" t="str">
        <v>Credit Card</v>
      </c>
      <c r="Y188" s="22">
        <v>998</v>
      </c>
      <c r="Z188" s="22">
        <v>758</v>
      </c>
      <c r="AA188" s="43">
        <v>0.75951903807615229</v>
      </c>
      <c r="AB188" s="15"/>
    </row>
    <row r="189" spans="1:28" x14ac:dyDescent="0.3">
      <c r="A189" s="37" t="s">
        <v>225</v>
      </c>
      <c r="B189" s="38">
        <v>45884</v>
      </c>
      <c r="C189" s="37" t="s">
        <v>57</v>
      </c>
      <c r="D189" s="37" t="s">
        <v>17</v>
      </c>
      <c r="E189" s="37" t="s">
        <v>13</v>
      </c>
      <c r="F189" s="39">
        <v>8</v>
      </c>
      <c r="G189" s="39">
        <v>8899</v>
      </c>
      <c r="H189" s="39">
        <v>7000</v>
      </c>
      <c r="I189" s="37" t="s">
        <v>41</v>
      </c>
      <c r="J189" s="37" t="s">
        <v>47</v>
      </c>
      <c r="K189" s="40">
        <f>Table1[[#This Row],[Quantity]]*Table1[[#This Row],[Unit Price]]</f>
        <v>71192</v>
      </c>
      <c r="L189" s="39">
        <f>Table1[[#This Row],[Revenue]]-Table1[[#This Row],[Cost Price]]*Table1[[#This Row],[Quantity]]</f>
        <v>15192</v>
      </c>
      <c r="M189" s="41">
        <f>IFERROR(Table1[[#This Row],[Profit]]/Table1[[#This Row],[Revenue]],"")</f>
        <v>0.21339476345656816</v>
      </c>
      <c r="N189" s="22"/>
      <c r="O189" s="49" t="s">
        <v>225</v>
      </c>
      <c r="P189" s="50" cm="1">
        <f t="array" ref="P189:AA189">_xlfn.XLOOKUP(O189,Table1[Order ID],Table1[[Order Date]:[Profit Margin]],0,0,1)</f>
        <v>45884</v>
      </c>
      <c r="Q189" s="37" t="str">
        <v>Water Purifier</v>
      </c>
      <c r="R189" s="37" t="str">
        <v>Appliances</v>
      </c>
      <c r="S189" s="37" t="str">
        <v>South</v>
      </c>
      <c r="T189" s="37">
        <v>8</v>
      </c>
      <c r="U189" s="37">
        <v>8899</v>
      </c>
      <c r="V189" s="37">
        <v>7000</v>
      </c>
      <c r="W189" s="37" t="str">
        <v>Processing</v>
      </c>
      <c r="X189" s="37" t="str">
        <v>Debit Card</v>
      </c>
      <c r="Y189" s="37">
        <v>71192</v>
      </c>
      <c r="Z189" s="37">
        <v>15192</v>
      </c>
      <c r="AA189" s="51">
        <v>0.21339476345656816</v>
      </c>
      <c r="AB189" s="15"/>
    </row>
    <row r="190" spans="1:28" x14ac:dyDescent="0.3">
      <c r="A190" s="22" t="s">
        <v>87</v>
      </c>
      <c r="B190" s="23">
        <v>45885</v>
      </c>
      <c r="C190" s="22" t="s">
        <v>30</v>
      </c>
      <c r="D190" s="22" t="s">
        <v>31</v>
      </c>
      <c r="E190" s="22" t="s">
        <v>18</v>
      </c>
      <c r="F190" s="24">
        <v>7</v>
      </c>
      <c r="G190" s="24">
        <v>15999</v>
      </c>
      <c r="H190" s="24">
        <v>13500</v>
      </c>
      <c r="I190" s="22" t="s">
        <v>14</v>
      </c>
      <c r="J190" s="22" t="s">
        <v>52</v>
      </c>
      <c r="K190" s="25">
        <f>Table1[[#This Row],[Quantity]]*Table1[[#This Row],[Unit Price]]</f>
        <v>111993</v>
      </c>
      <c r="L190" s="24">
        <f>Table1[[#This Row],[Revenue]]-Table1[[#This Row],[Cost Price]]*Table1[[#This Row],[Quantity]]</f>
        <v>17493</v>
      </c>
      <c r="M190" s="26">
        <f>IFERROR(Table1[[#This Row],[Profit]]/Table1[[#This Row],[Revenue]],"")</f>
        <v>0.15619726232889555</v>
      </c>
      <c r="N190" s="22"/>
      <c r="O190" s="42" t="s">
        <v>87</v>
      </c>
      <c r="P190" s="27" cm="1">
        <f t="array" ref="P190:AA190">_xlfn.XLOOKUP(O190,Table1[Order ID],Table1[[Order Date]:[Profit Margin]],0,0,1)</f>
        <v>45885</v>
      </c>
      <c r="Q190" s="22" t="str">
        <v>Redmi Note 13</v>
      </c>
      <c r="R190" s="22" t="str">
        <v>Electronics</v>
      </c>
      <c r="S190" s="22" t="str">
        <v>Central</v>
      </c>
      <c r="T190" s="22">
        <v>7</v>
      </c>
      <c r="U190" s="22">
        <v>15999</v>
      </c>
      <c r="V190" s="22">
        <v>13500</v>
      </c>
      <c r="W190" s="22" t="str">
        <v>Returned</v>
      </c>
      <c r="X190" s="22" t="str">
        <v>Cash</v>
      </c>
      <c r="Y190" s="22">
        <v>111993</v>
      </c>
      <c r="Z190" s="22">
        <v>17493</v>
      </c>
      <c r="AA190" s="43">
        <v>0.15619726232889555</v>
      </c>
      <c r="AB190" s="15"/>
    </row>
    <row r="191" spans="1:28" x14ac:dyDescent="0.3">
      <c r="A191" s="37" t="s">
        <v>75</v>
      </c>
      <c r="B191" s="38">
        <v>45888</v>
      </c>
      <c r="C191" s="37" t="s">
        <v>30</v>
      </c>
      <c r="D191" s="37" t="s">
        <v>31</v>
      </c>
      <c r="E191" s="37" t="s">
        <v>13</v>
      </c>
      <c r="F191" s="39">
        <v>1</v>
      </c>
      <c r="G191" s="39">
        <v>15999</v>
      </c>
      <c r="H191" s="39">
        <v>13500</v>
      </c>
      <c r="I191" s="37" t="s">
        <v>41</v>
      </c>
      <c r="J191" s="37" t="s">
        <v>47</v>
      </c>
      <c r="K191" s="40">
        <f>Table1[[#This Row],[Quantity]]*Table1[[#This Row],[Unit Price]]</f>
        <v>15999</v>
      </c>
      <c r="L191" s="39">
        <f>Table1[[#This Row],[Revenue]]-Table1[[#This Row],[Cost Price]]*Table1[[#This Row],[Quantity]]</f>
        <v>2499</v>
      </c>
      <c r="M191" s="41">
        <f>IFERROR(Table1[[#This Row],[Profit]]/Table1[[#This Row],[Revenue]],"")</f>
        <v>0.15619726232889555</v>
      </c>
      <c r="N191" s="22"/>
      <c r="O191" s="49" t="s">
        <v>75</v>
      </c>
      <c r="P191" s="50" cm="1">
        <f t="array" ref="P191:AA191">_xlfn.XLOOKUP(O191,Table1[Order ID],Table1[[Order Date]:[Profit Margin]],0,0,1)</f>
        <v>45888</v>
      </c>
      <c r="Q191" s="37" t="str">
        <v>Redmi Note 13</v>
      </c>
      <c r="R191" s="37" t="str">
        <v>Electronics</v>
      </c>
      <c r="S191" s="37" t="str">
        <v>South</v>
      </c>
      <c r="T191" s="37">
        <v>1</v>
      </c>
      <c r="U191" s="37">
        <v>15999</v>
      </c>
      <c r="V191" s="37">
        <v>13500</v>
      </c>
      <c r="W191" s="37" t="str">
        <v>Processing</v>
      </c>
      <c r="X191" s="37" t="str">
        <v>Debit Card</v>
      </c>
      <c r="Y191" s="37">
        <v>15999</v>
      </c>
      <c r="Z191" s="37">
        <v>2499</v>
      </c>
      <c r="AA191" s="51">
        <v>0.15619726232889555</v>
      </c>
      <c r="AB191" s="15"/>
    </row>
    <row r="192" spans="1:28" x14ac:dyDescent="0.3">
      <c r="A192" s="22" t="s">
        <v>316</v>
      </c>
      <c r="B192" s="23">
        <v>45888</v>
      </c>
      <c r="C192" s="22" t="s">
        <v>91</v>
      </c>
      <c r="D192" s="22" t="s">
        <v>38</v>
      </c>
      <c r="E192" s="22" t="s">
        <v>13</v>
      </c>
      <c r="F192" s="24">
        <v>1</v>
      </c>
      <c r="G192" s="24">
        <v>799</v>
      </c>
      <c r="H192" s="24">
        <v>500</v>
      </c>
      <c r="I192" s="22" t="s">
        <v>33</v>
      </c>
      <c r="J192" s="22" t="s">
        <v>34</v>
      </c>
      <c r="K192" s="25">
        <f>Table1[[#This Row],[Quantity]]*Table1[[#This Row],[Unit Price]]</f>
        <v>799</v>
      </c>
      <c r="L192" s="24">
        <f>Table1[[#This Row],[Revenue]]-Table1[[#This Row],[Cost Price]]*Table1[[#This Row],[Quantity]]</f>
        <v>299</v>
      </c>
      <c r="M192" s="26">
        <f>IFERROR(Table1[[#This Row],[Profit]]/Table1[[#This Row],[Revenue]],"")</f>
        <v>0.37421777221526908</v>
      </c>
      <c r="N192" s="22"/>
      <c r="O192" s="42" t="s">
        <v>316</v>
      </c>
      <c r="P192" s="27" cm="1">
        <f t="array" ref="P192:AA192">_xlfn.XLOOKUP(O192,Table1[Order ID],Table1[[Order Date]:[Profit Margin]],0,0,1)</f>
        <v>45888</v>
      </c>
      <c r="Q192" s="22" t="str">
        <v>LED Desk Lamp</v>
      </c>
      <c r="R192" s="22" t="str">
        <v>Home Decor</v>
      </c>
      <c r="S192" s="22" t="str">
        <v>South</v>
      </c>
      <c r="T192" s="22">
        <v>1</v>
      </c>
      <c r="U192" s="22">
        <v>799</v>
      </c>
      <c r="V192" s="22">
        <v>500</v>
      </c>
      <c r="W192" s="22" t="str">
        <v>Shipped</v>
      </c>
      <c r="X192" s="22" t="str">
        <v>UPI</v>
      </c>
      <c r="Y192" s="22">
        <v>799</v>
      </c>
      <c r="Z192" s="22">
        <v>299</v>
      </c>
      <c r="AA192" s="43">
        <v>0.37421777221526908</v>
      </c>
      <c r="AB192" s="15"/>
    </row>
    <row r="193" spans="1:28" x14ac:dyDescent="0.3">
      <c r="A193" s="37" t="s">
        <v>20</v>
      </c>
      <c r="B193" s="38">
        <v>45889</v>
      </c>
      <c r="C193" s="37" t="s">
        <v>21</v>
      </c>
      <c r="D193" s="37" t="s">
        <v>22</v>
      </c>
      <c r="E193" s="37" t="s">
        <v>23</v>
      </c>
      <c r="F193" s="39">
        <v>3</v>
      </c>
      <c r="G193" s="39">
        <v>599</v>
      </c>
      <c r="H193" s="39">
        <v>350</v>
      </c>
      <c r="I193" s="37" t="s">
        <v>24</v>
      </c>
      <c r="J193" s="37" t="s">
        <v>34</v>
      </c>
      <c r="K193" s="40">
        <f>Table1[[#This Row],[Quantity]]*Table1[[#This Row],[Unit Price]]</f>
        <v>1797</v>
      </c>
      <c r="L193" s="39">
        <f>Table1[[#This Row],[Revenue]]-Table1[[#This Row],[Cost Price]]*Table1[[#This Row],[Quantity]]</f>
        <v>747</v>
      </c>
      <c r="M193" s="41">
        <f>IFERROR(Table1[[#This Row],[Profit]]/Table1[[#This Row],[Revenue]],"")</f>
        <v>0.41569282136894825</v>
      </c>
      <c r="N193" s="22"/>
      <c r="O193" s="49" t="s">
        <v>20</v>
      </c>
      <c r="P193" s="50" cm="1">
        <f t="array" ref="P193:AA193">_xlfn.XLOOKUP(O193,Table1[Order ID],Table1[[Order Date]:[Profit Margin]],0,0,1)</f>
        <v>45889</v>
      </c>
      <c r="Q193" s="37" t="str">
        <v>Cotton T-Shirt</v>
      </c>
      <c r="R193" s="37" t="str">
        <v>Fashion</v>
      </c>
      <c r="S193" s="37" t="str">
        <v>West</v>
      </c>
      <c r="T193" s="37">
        <v>3</v>
      </c>
      <c r="U193" s="37">
        <v>599</v>
      </c>
      <c r="V193" s="37">
        <v>350</v>
      </c>
      <c r="W193" s="37" t="str">
        <v>Cancelled</v>
      </c>
      <c r="X193" s="37" t="str">
        <v>UPI</v>
      </c>
      <c r="Y193" s="37">
        <v>1797</v>
      </c>
      <c r="Z193" s="37">
        <v>747</v>
      </c>
      <c r="AA193" s="51">
        <v>0.41569282136894825</v>
      </c>
      <c r="AB193" s="15"/>
    </row>
    <row r="194" spans="1:28" x14ac:dyDescent="0.3">
      <c r="A194" s="22" t="s">
        <v>42</v>
      </c>
      <c r="B194" s="23">
        <v>45890</v>
      </c>
      <c r="C194" s="22" t="s">
        <v>21</v>
      </c>
      <c r="D194" s="22" t="s">
        <v>22</v>
      </c>
      <c r="E194" s="22" t="s">
        <v>18</v>
      </c>
      <c r="F194" s="24">
        <v>1</v>
      </c>
      <c r="G194" s="24">
        <v>599</v>
      </c>
      <c r="H194" s="24">
        <v>350</v>
      </c>
      <c r="I194" s="22" t="s">
        <v>24</v>
      </c>
      <c r="J194" s="22" t="s">
        <v>34</v>
      </c>
      <c r="K194" s="25">
        <f>Table1[[#This Row],[Quantity]]*Table1[[#This Row],[Unit Price]]</f>
        <v>599</v>
      </c>
      <c r="L194" s="24">
        <f>Table1[[#This Row],[Revenue]]-Table1[[#This Row],[Cost Price]]*Table1[[#This Row],[Quantity]]</f>
        <v>249</v>
      </c>
      <c r="M194" s="26">
        <f>IFERROR(Table1[[#This Row],[Profit]]/Table1[[#This Row],[Revenue]],"")</f>
        <v>0.41569282136894825</v>
      </c>
      <c r="N194" s="22"/>
      <c r="O194" s="42" t="s">
        <v>42</v>
      </c>
      <c r="P194" s="27" cm="1">
        <f t="array" ref="P194:AA194">_xlfn.XLOOKUP(O194,Table1[Order ID],Table1[[Order Date]:[Profit Margin]],0,0,1)</f>
        <v>45890</v>
      </c>
      <c r="Q194" s="22" t="str">
        <v>Cotton T-Shirt</v>
      </c>
      <c r="R194" s="22" t="str">
        <v>Fashion</v>
      </c>
      <c r="S194" s="22" t="str">
        <v>Central</v>
      </c>
      <c r="T194" s="22">
        <v>1</v>
      </c>
      <c r="U194" s="22">
        <v>599</v>
      </c>
      <c r="V194" s="22">
        <v>350</v>
      </c>
      <c r="W194" s="22" t="str">
        <v>Cancelled</v>
      </c>
      <c r="X194" s="22" t="str">
        <v>UPI</v>
      </c>
      <c r="Y194" s="22">
        <v>599</v>
      </c>
      <c r="Z194" s="22">
        <v>249</v>
      </c>
      <c r="AA194" s="43">
        <v>0.41569282136894825</v>
      </c>
      <c r="AB194" s="15"/>
    </row>
    <row r="195" spans="1:28" x14ac:dyDescent="0.3">
      <c r="A195" s="37" t="s">
        <v>186</v>
      </c>
      <c r="B195" s="38">
        <v>45890</v>
      </c>
      <c r="C195" s="37" t="s">
        <v>51</v>
      </c>
      <c r="D195" s="37" t="s">
        <v>31</v>
      </c>
      <c r="E195" s="37" t="s">
        <v>28</v>
      </c>
      <c r="F195" s="39">
        <v>10</v>
      </c>
      <c r="G195" s="39">
        <v>3099</v>
      </c>
      <c r="H195" s="39">
        <v>1800</v>
      </c>
      <c r="I195" s="37" t="s">
        <v>41</v>
      </c>
      <c r="J195" s="37" t="s">
        <v>26</v>
      </c>
      <c r="K195" s="40">
        <f>Table1[[#This Row],[Quantity]]*Table1[[#This Row],[Unit Price]]</f>
        <v>30990</v>
      </c>
      <c r="L195" s="39">
        <f>Table1[[#This Row],[Revenue]]-Table1[[#This Row],[Cost Price]]*Table1[[#This Row],[Quantity]]</f>
        <v>12990</v>
      </c>
      <c r="M195" s="41">
        <f>IFERROR(Table1[[#This Row],[Profit]]/Table1[[#This Row],[Revenue]],"")</f>
        <v>0.41916747337850918</v>
      </c>
      <c r="N195" s="22"/>
      <c r="O195" s="49" t="s">
        <v>186</v>
      </c>
      <c r="P195" s="50" cm="1">
        <f t="array" ref="P195:AA195">_xlfn.XLOOKUP(O195,Table1[Order ID],Table1[[Order Date]:[Profit Margin]],0,0,1)</f>
        <v>45890</v>
      </c>
      <c r="Q195" s="37" t="str">
        <v>Bluetooth Speaker</v>
      </c>
      <c r="R195" s="37" t="str">
        <v>Electronics</v>
      </c>
      <c r="S195" s="37" t="str">
        <v>East</v>
      </c>
      <c r="T195" s="37">
        <v>10</v>
      </c>
      <c r="U195" s="37">
        <v>3099</v>
      </c>
      <c r="V195" s="37">
        <v>1800</v>
      </c>
      <c r="W195" s="37" t="str">
        <v>Processing</v>
      </c>
      <c r="X195" s="37" t="str">
        <v>Credit Card</v>
      </c>
      <c r="Y195" s="37">
        <v>30990</v>
      </c>
      <c r="Z195" s="37">
        <v>12990</v>
      </c>
      <c r="AA195" s="51">
        <v>0.41916747337850918</v>
      </c>
      <c r="AB195" s="15"/>
    </row>
    <row r="196" spans="1:28" x14ac:dyDescent="0.3">
      <c r="A196" s="22" t="s">
        <v>122</v>
      </c>
      <c r="B196" s="23">
        <v>45891</v>
      </c>
      <c r="C196" s="22" t="s">
        <v>16</v>
      </c>
      <c r="D196" s="22" t="s">
        <v>17</v>
      </c>
      <c r="E196" s="22" t="s">
        <v>23</v>
      </c>
      <c r="F196" s="24">
        <v>10</v>
      </c>
      <c r="G196" s="24">
        <v>3399</v>
      </c>
      <c r="H196" s="24">
        <v>2500</v>
      </c>
      <c r="I196" s="22" t="s">
        <v>33</v>
      </c>
      <c r="J196" s="22" t="s">
        <v>52</v>
      </c>
      <c r="K196" s="25">
        <f>Table1[[#This Row],[Quantity]]*Table1[[#This Row],[Unit Price]]</f>
        <v>33990</v>
      </c>
      <c r="L196" s="24">
        <f>Table1[[#This Row],[Revenue]]-Table1[[#This Row],[Cost Price]]*Table1[[#This Row],[Quantity]]</f>
        <v>8990</v>
      </c>
      <c r="M196" s="26">
        <f>IFERROR(Table1[[#This Row],[Profit]]/Table1[[#This Row],[Revenue]],"")</f>
        <v>0.2644895557516917</v>
      </c>
      <c r="N196" s="22"/>
      <c r="O196" s="42" t="s">
        <v>122</v>
      </c>
      <c r="P196" s="27" cm="1">
        <f t="array" ref="P196:AA196">_xlfn.XLOOKUP(O196,Table1[Order ID],Table1[[Order Date]:[Profit Margin]],0,0,1)</f>
        <v>45891</v>
      </c>
      <c r="Q196" s="22" t="str">
        <v>Mixer Grinder</v>
      </c>
      <c r="R196" s="22" t="str">
        <v>Appliances</v>
      </c>
      <c r="S196" s="22" t="str">
        <v>West</v>
      </c>
      <c r="T196" s="22">
        <v>10</v>
      </c>
      <c r="U196" s="22">
        <v>3399</v>
      </c>
      <c r="V196" s="22">
        <v>2500</v>
      </c>
      <c r="W196" s="22" t="str">
        <v>Shipped</v>
      </c>
      <c r="X196" s="22" t="str">
        <v>Cash</v>
      </c>
      <c r="Y196" s="22">
        <v>33990</v>
      </c>
      <c r="Z196" s="22">
        <v>8990</v>
      </c>
      <c r="AA196" s="43">
        <v>0.2644895557516917</v>
      </c>
      <c r="AB196" s="15"/>
    </row>
    <row r="197" spans="1:28" x14ac:dyDescent="0.3">
      <c r="A197" s="37" t="s">
        <v>315</v>
      </c>
      <c r="B197" s="38">
        <v>45891</v>
      </c>
      <c r="C197" s="37" t="s">
        <v>74</v>
      </c>
      <c r="D197" s="37" t="s">
        <v>31</v>
      </c>
      <c r="E197" s="37" t="s">
        <v>13</v>
      </c>
      <c r="F197" s="39">
        <v>7</v>
      </c>
      <c r="G197" s="39">
        <v>2199</v>
      </c>
      <c r="H197" s="39">
        <v>1200</v>
      </c>
      <c r="I197" s="37" t="s">
        <v>19</v>
      </c>
      <c r="J197" s="37" t="s">
        <v>26</v>
      </c>
      <c r="K197" s="40">
        <f>Table1[[#This Row],[Quantity]]*Table1[[#This Row],[Unit Price]]</f>
        <v>15393</v>
      </c>
      <c r="L197" s="39">
        <f>Table1[[#This Row],[Revenue]]-Table1[[#This Row],[Cost Price]]*Table1[[#This Row],[Quantity]]</f>
        <v>6993</v>
      </c>
      <c r="M197" s="41">
        <f>IFERROR(Table1[[#This Row],[Profit]]/Table1[[#This Row],[Revenue]],"")</f>
        <v>0.45429740791268758</v>
      </c>
      <c r="N197" s="22"/>
      <c r="O197" s="49" t="s">
        <v>315</v>
      </c>
      <c r="P197" s="50" cm="1">
        <f t="array" ref="P197:AA197">_xlfn.XLOOKUP(O197,Table1[Order ID],Table1[[Order Date]:[Profit Margin]],0,0,1)</f>
        <v>45891</v>
      </c>
      <c r="Q197" s="37" t="str">
        <v>Boat Headphones</v>
      </c>
      <c r="R197" s="37" t="str">
        <v>Electronics</v>
      </c>
      <c r="S197" s="37" t="str">
        <v>South</v>
      </c>
      <c r="T197" s="37">
        <v>7</v>
      </c>
      <c r="U197" s="37">
        <v>2199</v>
      </c>
      <c r="V197" s="37">
        <v>1200</v>
      </c>
      <c r="W197" s="37" t="str">
        <v>Delivered</v>
      </c>
      <c r="X197" s="37" t="str">
        <v>Credit Card</v>
      </c>
      <c r="Y197" s="37">
        <v>15393</v>
      </c>
      <c r="Z197" s="37">
        <v>6993</v>
      </c>
      <c r="AA197" s="51">
        <v>0.45429740791268758</v>
      </c>
      <c r="AB197" s="15"/>
    </row>
    <row r="198" spans="1:28" x14ac:dyDescent="0.3">
      <c r="A198" s="22" t="s">
        <v>327</v>
      </c>
      <c r="B198" s="23">
        <v>45892</v>
      </c>
      <c r="C198" s="22" t="s">
        <v>30</v>
      </c>
      <c r="D198" s="22" t="s">
        <v>31</v>
      </c>
      <c r="E198" s="22" t="s">
        <v>13</v>
      </c>
      <c r="F198" s="24">
        <v>2</v>
      </c>
      <c r="G198" s="24">
        <v>15999</v>
      </c>
      <c r="H198" s="24">
        <v>13500</v>
      </c>
      <c r="I198" s="22" t="s">
        <v>14</v>
      </c>
      <c r="J198" s="22" t="s">
        <v>55</v>
      </c>
      <c r="K198" s="25">
        <f>Table1[[#This Row],[Quantity]]*Table1[[#This Row],[Unit Price]]</f>
        <v>31998</v>
      </c>
      <c r="L198" s="24">
        <f>Table1[[#This Row],[Revenue]]-Table1[[#This Row],[Cost Price]]*Table1[[#This Row],[Quantity]]</f>
        <v>4998</v>
      </c>
      <c r="M198" s="26">
        <f>IFERROR(Table1[[#This Row],[Profit]]/Table1[[#This Row],[Revenue]],"")</f>
        <v>0.15619726232889555</v>
      </c>
      <c r="N198" s="22"/>
      <c r="O198" s="42" t="s">
        <v>327</v>
      </c>
      <c r="P198" s="27" cm="1">
        <f t="array" ref="P198:AA198">_xlfn.XLOOKUP(O198,Table1[Order ID],Table1[[Order Date]:[Profit Margin]],0,0,1)</f>
        <v>45892</v>
      </c>
      <c r="Q198" s="22" t="str">
        <v>Redmi Note 13</v>
      </c>
      <c r="R198" s="22" t="str">
        <v>Electronics</v>
      </c>
      <c r="S198" s="22" t="str">
        <v>South</v>
      </c>
      <c r="T198" s="22">
        <v>2</v>
      </c>
      <c r="U198" s="22">
        <v>15999</v>
      </c>
      <c r="V198" s="22">
        <v>13500</v>
      </c>
      <c r="W198" s="22" t="str">
        <v>Returned</v>
      </c>
      <c r="X198" s="22" t="str">
        <v>Net Banking</v>
      </c>
      <c r="Y198" s="22">
        <v>31998</v>
      </c>
      <c r="Z198" s="22">
        <v>4998</v>
      </c>
      <c r="AA198" s="43">
        <v>0.15619726232889555</v>
      </c>
      <c r="AB198" s="15"/>
    </row>
    <row r="199" spans="1:28" x14ac:dyDescent="0.3">
      <c r="A199" s="37" t="s">
        <v>216</v>
      </c>
      <c r="B199" s="38">
        <v>45893</v>
      </c>
      <c r="C199" s="37" t="s">
        <v>51</v>
      </c>
      <c r="D199" s="37" t="s">
        <v>31</v>
      </c>
      <c r="E199" s="37" t="s">
        <v>13</v>
      </c>
      <c r="F199" s="39">
        <v>3</v>
      </c>
      <c r="G199" s="39">
        <v>2899</v>
      </c>
      <c r="H199" s="39">
        <v>1800</v>
      </c>
      <c r="I199" s="37" t="s">
        <v>14</v>
      </c>
      <c r="J199" s="37" t="s">
        <v>26</v>
      </c>
      <c r="K199" s="40">
        <f>Table1[[#This Row],[Quantity]]*Table1[[#This Row],[Unit Price]]</f>
        <v>8697</v>
      </c>
      <c r="L199" s="39">
        <f>Table1[[#This Row],[Revenue]]-Table1[[#This Row],[Cost Price]]*Table1[[#This Row],[Quantity]]</f>
        <v>3297</v>
      </c>
      <c r="M199" s="41">
        <f>IFERROR(Table1[[#This Row],[Profit]]/Table1[[#This Row],[Revenue]],"")</f>
        <v>0.37909624008278719</v>
      </c>
      <c r="N199" s="22"/>
      <c r="O199" s="49" t="s">
        <v>216</v>
      </c>
      <c r="P199" s="50" cm="1">
        <f t="array" ref="P199:AA199">_xlfn.XLOOKUP(O199,Table1[Order ID],Table1[[Order Date]:[Profit Margin]],0,0,1)</f>
        <v>45893</v>
      </c>
      <c r="Q199" s="37" t="str">
        <v>Bluetooth Speaker</v>
      </c>
      <c r="R199" s="37" t="str">
        <v>Electronics</v>
      </c>
      <c r="S199" s="37" t="str">
        <v>South</v>
      </c>
      <c r="T199" s="37">
        <v>3</v>
      </c>
      <c r="U199" s="37">
        <v>2899</v>
      </c>
      <c r="V199" s="37">
        <v>1800</v>
      </c>
      <c r="W199" s="37" t="str">
        <v>Returned</v>
      </c>
      <c r="X199" s="37" t="str">
        <v>Credit Card</v>
      </c>
      <c r="Y199" s="37">
        <v>8697</v>
      </c>
      <c r="Z199" s="37">
        <v>3297</v>
      </c>
      <c r="AA199" s="51">
        <v>0.37909624008278719</v>
      </c>
      <c r="AB199" s="15"/>
    </row>
    <row r="200" spans="1:28" x14ac:dyDescent="0.3">
      <c r="A200" s="22" t="s">
        <v>281</v>
      </c>
      <c r="B200" s="23">
        <v>45893</v>
      </c>
      <c r="C200" s="22" t="s">
        <v>46</v>
      </c>
      <c r="D200" s="22" t="s">
        <v>27</v>
      </c>
      <c r="E200" s="22" t="s">
        <v>23</v>
      </c>
      <c r="F200" s="24">
        <v>10</v>
      </c>
      <c r="G200" s="24">
        <v>399</v>
      </c>
      <c r="H200" s="24">
        <v>120</v>
      </c>
      <c r="I200" s="22" t="s">
        <v>24</v>
      </c>
      <c r="J200" s="22" t="s">
        <v>26</v>
      </c>
      <c r="K200" s="25">
        <f>Table1[[#This Row],[Quantity]]*Table1[[#This Row],[Unit Price]]</f>
        <v>3990</v>
      </c>
      <c r="L200" s="24">
        <f>Table1[[#This Row],[Revenue]]-Table1[[#This Row],[Cost Price]]*Table1[[#This Row],[Quantity]]</f>
        <v>2790</v>
      </c>
      <c r="M200" s="26">
        <f>IFERROR(Table1[[#This Row],[Profit]]/Table1[[#This Row],[Revenue]],"")</f>
        <v>0.6992481203007519</v>
      </c>
      <c r="N200" s="22"/>
      <c r="O200" s="42" t="s">
        <v>281</v>
      </c>
      <c r="P200" s="27" cm="1">
        <f t="array" ref="P200:AA200">_xlfn.XLOOKUP(O200,Table1[Order ID],Table1[[Order Date]:[Profit Margin]],0,0,1)</f>
        <v>45893</v>
      </c>
      <c r="Q200" s="22" t="str">
        <v>Notebook Pack</v>
      </c>
      <c r="R200" s="22" t="str">
        <v>Stationery</v>
      </c>
      <c r="S200" s="22" t="str">
        <v>West</v>
      </c>
      <c r="T200" s="22">
        <v>10</v>
      </c>
      <c r="U200" s="22">
        <v>399</v>
      </c>
      <c r="V200" s="22">
        <v>120</v>
      </c>
      <c r="W200" s="22" t="str">
        <v>Cancelled</v>
      </c>
      <c r="X200" s="22" t="str">
        <v>Credit Card</v>
      </c>
      <c r="Y200" s="22">
        <v>3990</v>
      </c>
      <c r="Z200" s="22">
        <v>2790</v>
      </c>
      <c r="AA200" s="43">
        <v>0.6992481203007519</v>
      </c>
      <c r="AB200" s="15"/>
    </row>
    <row r="201" spans="1:28" x14ac:dyDescent="0.3">
      <c r="A201" s="37" t="s">
        <v>136</v>
      </c>
      <c r="B201" s="38">
        <v>45895</v>
      </c>
      <c r="C201" s="37" t="s">
        <v>11</v>
      </c>
      <c r="D201" s="37" t="s">
        <v>12</v>
      </c>
      <c r="E201" s="37" t="s">
        <v>23</v>
      </c>
      <c r="F201" s="39">
        <v>1</v>
      </c>
      <c r="G201" s="39">
        <v>7199</v>
      </c>
      <c r="H201" s="39">
        <v>5000</v>
      </c>
      <c r="I201" s="37" t="s">
        <v>19</v>
      </c>
      <c r="J201" s="37" t="s">
        <v>26</v>
      </c>
      <c r="K201" s="40">
        <f>Table1[[#This Row],[Quantity]]*Table1[[#This Row],[Unit Price]]</f>
        <v>7199</v>
      </c>
      <c r="L201" s="39">
        <f>Table1[[#This Row],[Revenue]]-Table1[[#This Row],[Cost Price]]*Table1[[#This Row],[Quantity]]</f>
        <v>2199</v>
      </c>
      <c r="M201" s="41">
        <f>IFERROR(Table1[[#This Row],[Profit]]/Table1[[#This Row],[Revenue]],"")</f>
        <v>0.30545909154049172</v>
      </c>
      <c r="N201" s="22"/>
      <c r="O201" s="49" t="s">
        <v>136</v>
      </c>
      <c r="P201" s="50" cm="1">
        <f t="array" ref="P201:AA201">_xlfn.XLOOKUP(O201,Table1[Order ID],Table1[[Order Date]:[Profit Margin]],0,0,1)</f>
        <v>45895</v>
      </c>
      <c r="Q201" s="37" t="str">
        <v>Study Table</v>
      </c>
      <c r="R201" s="37" t="str">
        <v>Furniture</v>
      </c>
      <c r="S201" s="37" t="str">
        <v>West</v>
      </c>
      <c r="T201" s="37">
        <v>1</v>
      </c>
      <c r="U201" s="37">
        <v>7199</v>
      </c>
      <c r="V201" s="37">
        <v>5000</v>
      </c>
      <c r="W201" s="37" t="str">
        <v>Delivered</v>
      </c>
      <c r="X201" s="37" t="str">
        <v>Credit Card</v>
      </c>
      <c r="Y201" s="37">
        <v>7199</v>
      </c>
      <c r="Z201" s="37">
        <v>2199</v>
      </c>
      <c r="AA201" s="51">
        <v>0.30545909154049172</v>
      </c>
      <c r="AB201" s="15"/>
    </row>
    <row r="202" spans="1:28" x14ac:dyDescent="0.3">
      <c r="A202" s="22" t="s">
        <v>324</v>
      </c>
      <c r="B202" s="23">
        <v>45900</v>
      </c>
      <c r="C202" s="22" t="s">
        <v>54</v>
      </c>
      <c r="D202" s="22" t="s">
        <v>27</v>
      </c>
      <c r="E202" s="22" t="s">
        <v>32</v>
      </c>
      <c r="F202" s="24">
        <v>5</v>
      </c>
      <c r="G202" s="24">
        <v>299</v>
      </c>
      <c r="H202" s="24">
        <v>180</v>
      </c>
      <c r="I202" s="22" t="s">
        <v>19</v>
      </c>
      <c r="J202" s="22" t="s">
        <v>52</v>
      </c>
      <c r="K202" s="25">
        <f>Table1[[#This Row],[Quantity]]*Table1[[#This Row],[Unit Price]]</f>
        <v>1495</v>
      </c>
      <c r="L202" s="24">
        <f>Table1[[#This Row],[Revenue]]-Table1[[#This Row],[Cost Price]]*Table1[[#This Row],[Quantity]]</f>
        <v>595</v>
      </c>
      <c r="M202" s="26">
        <f>IFERROR(Table1[[#This Row],[Profit]]/Table1[[#This Row],[Revenue]],"")</f>
        <v>0.39799331103678931</v>
      </c>
      <c r="N202" s="22"/>
      <c r="O202" s="42" t="s">
        <v>324</v>
      </c>
      <c r="P202" s="27" cm="1">
        <f t="array" ref="P202:AA202">_xlfn.XLOOKUP(O202,Table1[Order ID],Table1[[Order Date]:[Profit Margin]],0,0,1)</f>
        <v>45900</v>
      </c>
      <c r="Q202" s="22" t="str">
        <v>Printer Paper</v>
      </c>
      <c r="R202" s="22" t="str">
        <v>Stationery</v>
      </c>
      <c r="S202" s="22" t="str">
        <v>North</v>
      </c>
      <c r="T202" s="22">
        <v>5</v>
      </c>
      <c r="U202" s="22">
        <v>299</v>
      </c>
      <c r="V202" s="22">
        <v>180</v>
      </c>
      <c r="W202" s="22" t="str">
        <v>Delivered</v>
      </c>
      <c r="X202" s="22" t="str">
        <v>Cash</v>
      </c>
      <c r="Y202" s="22">
        <v>1495</v>
      </c>
      <c r="Z202" s="22">
        <v>595</v>
      </c>
      <c r="AA202" s="43">
        <v>0.39799331103678931</v>
      </c>
      <c r="AB202" s="15"/>
    </row>
    <row r="203" spans="1:28" x14ac:dyDescent="0.3">
      <c r="A203" s="37" t="s">
        <v>162</v>
      </c>
      <c r="B203" s="38">
        <v>45902</v>
      </c>
      <c r="C203" s="37" t="s">
        <v>16</v>
      </c>
      <c r="D203" s="37" t="s">
        <v>17</v>
      </c>
      <c r="E203" s="37" t="s">
        <v>13</v>
      </c>
      <c r="F203" s="39">
        <v>9</v>
      </c>
      <c r="G203" s="39">
        <v>3599</v>
      </c>
      <c r="H203" s="39">
        <v>2500</v>
      </c>
      <c r="I203" s="37" t="s">
        <v>19</v>
      </c>
      <c r="J203" s="37" t="s">
        <v>55</v>
      </c>
      <c r="K203" s="40">
        <f>Table1[[#This Row],[Quantity]]*Table1[[#This Row],[Unit Price]]</f>
        <v>32391</v>
      </c>
      <c r="L203" s="39">
        <f>Table1[[#This Row],[Revenue]]-Table1[[#This Row],[Cost Price]]*Table1[[#This Row],[Quantity]]</f>
        <v>9891</v>
      </c>
      <c r="M203" s="41">
        <f>IFERROR(Table1[[#This Row],[Profit]]/Table1[[#This Row],[Revenue]],"")</f>
        <v>0.30536260072242288</v>
      </c>
      <c r="N203" s="22"/>
      <c r="O203" s="49" t="s">
        <v>162</v>
      </c>
      <c r="P203" s="50" cm="1">
        <f t="array" ref="P203:AA203">_xlfn.XLOOKUP(O203,Table1[Order ID],Table1[[Order Date]:[Profit Margin]],0,0,1)</f>
        <v>45902</v>
      </c>
      <c r="Q203" s="37" t="str">
        <v>Mixer Grinder</v>
      </c>
      <c r="R203" s="37" t="str">
        <v>Appliances</v>
      </c>
      <c r="S203" s="37" t="str">
        <v>South</v>
      </c>
      <c r="T203" s="37">
        <v>9</v>
      </c>
      <c r="U203" s="37">
        <v>3599</v>
      </c>
      <c r="V203" s="37">
        <v>2500</v>
      </c>
      <c r="W203" s="37" t="str">
        <v>Delivered</v>
      </c>
      <c r="X203" s="37" t="str">
        <v>Net Banking</v>
      </c>
      <c r="Y203" s="37">
        <v>32391</v>
      </c>
      <c r="Z203" s="37">
        <v>9891</v>
      </c>
      <c r="AA203" s="51">
        <v>0.30536260072242288</v>
      </c>
      <c r="AB203" s="15"/>
    </row>
    <row r="204" spans="1:28" x14ac:dyDescent="0.3">
      <c r="A204" s="22" t="s">
        <v>318</v>
      </c>
      <c r="B204" s="23">
        <v>45902</v>
      </c>
      <c r="C204" s="22" t="s">
        <v>30</v>
      </c>
      <c r="D204" s="22" t="s">
        <v>31</v>
      </c>
      <c r="E204" s="22" t="s">
        <v>13</v>
      </c>
      <c r="F204" s="24">
        <v>9</v>
      </c>
      <c r="G204" s="24">
        <v>16199</v>
      </c>
      <c r="H204" s="24">
        <v>13500</v>
      </c>
      <c r="I204" s="22" t="s">
        <v>14</v>
      </c>
      <c r="J204" s="22" t="s">
        <v>52</v>
      </c>
      <c r="K204" s="25">
        <f>Table1[[#This Row],[Quantity]]*Table1[[#This Row],[Unit Price]]</f>
        <v>145791</v>
      </c>
      <c r="L204" s="24">
        <f>Table1[[#This Row],[Revenue]]-Table1[[#This Row],[Cost Price]]*Table1[[#This Row],[Quantity]]</f>
        <v>24291</v>
      </c>
      <c r="M204" s="26">
        <f>IFERROR(Table1[[#This Row],[Profit]]/Table1[[#This Row],[Revenue]],"")</f>
        <v>0.16661522316192356</v>
      </c>
      <c r="N204" s="22"/>
      <c r="O204" s="42" t="s">
        <v>318</v>
      </c>
      <c r="P204" s="27" cm="1">
        <f t="array" ref="P204:AA204">_xlfn.XLOOKUP(O204,Table1[Order ID],Table1[[Order Date]:[Profit Margin]],0,0,1)</f>
        <v>45902</v>
      </c>
      <c r="Q204" s="22" t="str">
        <v>Redmi Note 13</v>
      </c>
      <c r="R204" s="22" t="str">
        <v>Electronics</v>
      </c>
      <c r="S204" s="22" t="str">
        <v>South</v>
      </c>
      <c r="T204" s="22">
        <v>9</v>
      </c>
      <c r="U204" s="22">
        <v>16199</v>
      </c>
      <c r="V204" s="22">
        <v>13500</v>
      </c>
      <c r="W204" s="22" t="str">
        <v>Returned</v>
      </c>
      <c r="X204" s="22" t="str">
        <v>Cash</v>
      </c>
      <c r="Y204" s="22">
        <v>145791</v>
      </c>
      <c r="Z204" s="22">
        <v>24291</v>
      </c>
      <c r="AA204" s="43">
        <v>0.16661522316192356</v>
      </c>
      <c r="AB204" s="15"/>
    </row>
    <row r="205" spans="1:28" x14ac:dyDescent="0.3">
      <c r="A205" s="37" t="s">
        <v>255</v>
      </c>
      <c r="B205" s="38">
        <v>45906</v>
      </c>
      <c r="C205" s="37" t="s">
        <v>49</v>
      </c>
      <c r="D205" s="37" t="s">
        <v>22</v>
      </c>
      <c r="E205" s="37" t="s">
        <v>28</v>
      </c>
      <c r="F205" s="39">
        <v>10</v>
      </c>
      <c r="G205" s="39">
        <v>2599</v>
      </c>
      <c r="H205" s="39">
        <v>1400</v>
      </c>
      <c r="I205" s="37" t="s">
        <v>41</v>
      </c>
      <c r="J205" s="37" t="s">
        <v>34</v>
      </c>
      <c r="K205" s="40">
        <f>Table1[[#This Row],[Quantity]]*Table1[[#This Row],[Unit Price]]</f>
        <v>25990</v>
      </c>
      <c r="L205" s="39">
        <f>Table1[[#This Row],[Revenue]]-Table1[[#This Row],[Cost Price]]*Table1[[#This Row],[Quantity]]</f>
        <v>11990</v>
      </c>
      <c r="M205" s="41">
        <f>IFERROR(Table1[[#This Row],[Profit]]/Table1[[#This Row],[Revenue]],"")</f>
        <v>0.46133128126202383</v>
      </c>
      <c r="N205" s="22"/>
      <c r="O205" s="49" t="s">
        <v>255</v>
      </c>
      <c r="P205" s="50" cm="1">
        <f t="array" ref="P205:AA205">_xlfn.XLOOKUP(O205,Table1[Order ID],Table1[[Order Date]:[Profit Margin]],0,0,1)</f>
        <v>45906</v>
      </c>
      <c r="Q205" s="37" t="str">
        <v>Running Shoes</v>
      </c>
      <c r="R205" s="37" t="str">
        <v>Fashion</v>
      </c>
      <c r="S205" s="37" t="str">
        <v>East</v>
      </c>
      <c r="T205" s="37">
        <v>10</v>
      </c>
      <c r="U205" s="37">
        <v>2599</v>
      </c>
      <c r="V205" s="37">
        <v>1400</v>
      </c>
      <c r="W205" s="37" t="str">
        <v>Processing</v>
      </c>
      <c r="X205" s="37" t="str">
        <v>UPI</v>
      </c>
      <c r="Y205" s="37">
        <v>25990</v>
      </c>
      <c r="Z205" s="37">
        <v>11990</v>
      </c>
      <c r="AA205" s="51">
        <v>0.46133128126202383</v>
      </c>
      <c r="AB205" s="15"/>
    </row>
    <row r="206" spans="1:28" x14ac:dyDescent="0.3">
      <c r="A206" s="22" t="s">
        <v>89</v>
      </c>
      <c r="B206" s="23">
        <v>45909</v>
      </c>
      <c r="C206" s="22" t="s">
        <v>57</v>
      </c>
      <c r="D206" s="22" t="s">
        <v>17</v>
      </c>
      <c r="E206" s="22" t="s">
        <v>28</v>
      </c>
      <c r="F206" s="24">
        <v>4</v>
      </c>
      <c r="G206" s="24">
        <v>9099</v>
      </c>
      <c r="H206" s="24">
        <v>7000</v>
      </c>
      <c r="I206" s="22" t="s">
        <v>19</v>
      </c>
      <c r="J206" s="22" t="s">
        <v>55</v>
      </c>
      <c r="K206" s="25">
        <f>Table1[[#This Row],[Quantity]]*Table1[[#This Row],[Unit Price]]</f>
        <v>36396</v>
      </c>
      <c r="L206" s="24">
        <f>Table1[[#This Row],[Revenue]]-Table1[[#This Row],[Cost Price]]*Table1[[#This Row],[Quantity]]</f>
        <v>8396</v>
      </c>
      <c r="M206" s="26">
        <f>IFERROR(Table1[[#This Row],[Profit]]/Table1[[#This Row],[Revenue]],"")</f>
        <v>0.23068469062534344</v>
      </c>
      <c r="N206" s="22"/>
      <c r="O206" s="42" t="s">
        <v>89</v>
      </c>
      <c r="P206" s="27" cm="1">
        <f t="array" ref="P206:AA206">_xlfn.XLOOKUP(O206,Table1[Order ID],Table1[[Order Date]:[Profit Margin]],0,0,1)</f>
        <v>45909</v>
      </c>
      <c r="Q206" s="22" t="str">
        <v>Water Purifier</v>
      </c>
      <c r="R206" s="22" t="str">
        <v>Appliances</v>
      </c>
      <c r="S206" s="22" t="str">
        <v>East</v>
      </c>
      <c r="T206" s="22">
        <v>4</v>
      </c>
      <c r="U206" s="22">
        <v>9099</v>
      </c>
      <c r="V206" s="22">
        <v>7000</v>
      </c>
      <c r="W206" s="22" t="str">
        <v>Delivered</v>
      </c>
      <c r="X206" s="22" t="str">
        <v>Net Banking</v>
      </c>
      <c r="Y206" s="22">
        <v>36396</v>
      </c>
      <c r="Z206" s="22">
        <v>8396</v>
      </c>
      <c r="AA206" s="43">
        <v>0.23068469062534344</v>
      </c>
      <c r="AB206" s="15"/>
    </row>
    <row r="207" spans="1:28" x14ac:dyDescent="0.3">
      <c r="A207" s="37" t="s">
        <v>271</v>
      </c>
      <c r="B207" s="38">
        <v>45909</v>
      </c>
      <c r="C207" s="37" t="s">
        <v>54</v>
      </c>
      <c r="D207" s="37" t="s">
        <v>27</v>
      </c>
      <c r="E207" s="37" t="s">
        <v>32</v>
      </c>
      <c r="F207" s="39">
        <v>6</v>
      </c>
      <c r="G207" s="39">
        <v>399</v>
      </c>
      <c r="H207" s="39">
        <v>180</v>
      </c>
      <c r="I207" s="37" t="s">
        <v>19</v>
      </c>
      <c r="J207" s="37" t="s">
        <v>47</v>
      </c>
      <c r="K207" s="40">
        <f>Table1[[#This Row],[Quantity]]*Table1[[#This Row],[Unit Price]]</f>
        <v>2394</v>
      </c>
      <c r="L207" s="39">
        <f>Table1[[#This Row],[Revenue]]-Table1[[#This Row],[Cost Price]]*Table1[[#This Row],[Quantity]]</f>
        <v>1314</v>
      </c>
      <c r="M207" s="41">
        <f>IFERROR(Table1[[#This Row],[Profit]]/Table1[[#This Row],[Revenue]],"")</f>
        <v>0.54887218045112784</v>
      </c>
      <c r="N207" s="22"/>
      <c r="O207" s="49" t="s">
        <v>271</v>
      </c>
      <c r="P207" s="50" cm="1">
        <f t="array" ref="P207:AA207">_xlfn.XLOOKUP(O207,Table1[Order ID],Table1[[Order Date]:[Profit Margin]],0,0,1)</f>
        <v>45909</v>
      </c>
      <c r="Q207" s="37" t="str">
        <v>Printer Paper</v>
      </c>
      <c r="R207" s="37" t="str">
        <v>Stationery</v>
      </c>
      <c r="S207" s="37" t="str">
        <v>North</v>
      </c>
      <c r="T207" s="37">
        <v>6</v>
      </c>
      <c r="U207" s="37">
        <v>399</v>
      </c>
      <c r="V207" s="37">
        <v>180</v>
      </c>
      <c r="W207" s="37" t="str">
        <v>Delivered</v>
      </c>
      <c r="X207" s="37" t="str">
        <v>Debit Card</v>
      </c>
      <c r="Y207" s="37">
        <v>2394</v>
      </c>
      <c r="Z207" s="37">
        <v>1314</v>
      </c>
      <c r="AA207" s="51">
        <v>0.54887218045112784</v>
      </c>
      <c r="AB207" s="15"/>
    </row>
    <row r="208" spans="1:28" x14ac:dyDescent="0.3">
      <c r="A208" s="22" t="s">
        <v>137</v>
      </c>
      <c r="B208" s="23">
        <v>45910</v>
      </c>
      <c r="C208" s="22" t="s">
        <v>21</v>
      </c>
      <c r="D208" s="22" t="s">
        <v>22</v>
      </c>
      <c r="E208" s="22" t="s">
        <v>32</v>
      </c>
      <c r="F208" s="24">
        <v>1</v>
      </c>
      <c r="G208" s="24">
        <v>699</v>
      </c>
      <c r="H208" s="24">
        <v>350</v>
      </c>
      <c r="I208" s="22" t="s">
        <v>24</v>
      </c>
      <c r="J208" s="22" t="s">
        <v>52</v>
      </c>
      <c r="K208" s="25">
        <f>Table1[[#This Row],[Quantity]]*Table1[[#This Row],[Unit Price]]</f>
        <v>699</v>
      </c>
      <c r="L208" s="24">
        <f>Table1[[#This Row],[Revenue]]-Table1[[#This Row],[Cost Price]]*Table1[[#This Row],[Quantity]]</f>
        <v>349</v>
      </c>
      <c r="M208" s="26">
        <f>IFERROR(Table1[[#This Row],[Profit]]/Table1[[#This Row],[Revenue]],"")</f>
        <v>0.49928469241773965</v>
      </c>
      <c r="N208" s="22"/>
      <c r="O208" s="42" t="s">
        <v>137</v>
      </c>
      <c r="P208" s="27" cm="1">
        <f t="array" ref="P208:AA208">_xlfn.XLOOKUP(O208,Table1[Order ID],Table1[[Order Date]:[Profit Margin]],0,0,1)</f>
        <v>45910</v>
      </c>
      <c r="Q208" s="22" t="str">
        <v>Cotton T-Shirt</v>
      </c>
      <c r="R208" s="22" t="str">
        <v>Fashion</v>
      </c>
      <c r="S208" s="22" t="str">
        <v>North</v>
      </c>
      <c r="T208" s="22">
        <v>1</v>
      </c>
      <c r="U208" s="22">
        <v>699</v>
      </c>
      <c r="V208" s="22">
        <v>350</v>
      </c>
      <c r="W208" s="22" t="str">
        <v>Cancelled</v>
      </c>
      <c r="X208" s="22" t="str">
        <v>Cash</v>
      </c>
      <c r="Y208" s="22">
        <v>699</v>
      </c>
      <c r="Z208" s="22">
        <v>349</v>
      </c>
      <c r="AA208" s="43">
        <v>0.49928469241773965</v>
      </c>
      <c r="AB208" s="15"/>
    </row>
    <row r="209" spans="1:28" x14ac:dyDescent="0.3">
      <c r="A209" s="37" t="s">
        <v>134</v>
      </c>
      <c r="B209" s="38">
        <v>45912</v>
      </c>
      <c r="C209" s="37" t="s">
        <v>57</v>
      </c>
      <c r="D209" s="37" t="s">
        <v>17</v>
      </c>
      <c r="E209" s="37" t="s">
        <v>32</v>
      </c>
      <c r="F209" s="39">
        <v>1</v>
      </c>
      <c r="G209" s="39">
        <v>8799</v>
      </c>
      <c r="H209" s="39">
        <v>7000</v>
      </c>
      <c r="I209" s="37" t="s">
        <v>24</v>
      </c>
      <c r="J209" s="37" t="s">
        <v>26</v>
      </c>
      <c r="K209" s="40">
        <f>Table1[[#This Row],[Quantity]]*Table1[[#This Row],[Unit Price]]</f>
        <v>8799</v>
      </c>
      <c r="L209" s="39">
        <f>Table1[[#This Row],[Revenue]]-Table1[[#This Row],[Cost Price]]*Table1[[#This Row],[Quantity]]</f>
        <v>1799</v>
      </c>
      <c r="M209" s="41">
        <f>IFERROR(Table1[[#This Row],[Profit]]/Table1[[#This Row],[Revenue]],"")</f>
        <v>0.20445505171042164</v>
      </c>
      <c r="N209" s="22"/>
      <c r="O209" s="49" t="s">
        <v>134</v>
      </c>
      <c r="P209" s="50" cm="1">
        <f t="array" ref="P209:AA209">_xlfn.XLOOKUP(O209,Table1[Order ID],Table1[[Order Date]:[Profit Margin]],0,0,1)</f>
        <v>45912</v>
      </c>
      <c r="Q209" s="37" t="str">
        <v>Water Purifier</v>
      </c>
      <c r="R209" s="37" t="str">
        <v>Appliances</v>
      </c>
      <c r="S209" s="37" t="str">
        <v>North</v>
      </c>
      <c r="T209" s="37">
        <v>1</v>
      </c>
      <c r="U209" s="37">
        <v>8799</v>
      </c>
      <c r="V209" s="37">
        <v>7000</v>
      </c>
      <c r="W209" s="37" t="str">
        <v>Cancelled</v>
      </c>
      <c r="X209" s="37" t="str">
        <v>Credit Card</v>
      </c>
      <c r="Y209" s="37">
        <v>8799</v>
      </c>
      <c r="Z209" s="37">
        <v>1799</v>
      </c>
      <c r="AA209" s="51">
        <v>0.20445505171042164</v>
      </c>
      <c r="AB209" s="15"/>
    </row>
    <row r="210" spans="1:28" x14ac:dyDescent="0.3">
      <c r="A210" s="22" t="s">
        <v>298</v>
      </c>
      <c r="B210" s="23">
        <v>45915</v>
      </c>
      <c r="C210" s="22" t="s">
        <v>60</v>
      </c>
      <c r="D210" s="22" t="s">
        <v>31</v>
      </c>
      <c r="E210" s="22" t="s">
        <v>23</v>
      </c>
      <c r="F210" s="24">
        <v>7</v>
      </c>
      <c r="G210" s="24">
        <v>3599</v>
      </c>
      <c r="H210" s="24">
        <v>2400</v>
      </c>
      <c r="I210" s="22" t="s">
        <v>19</v>
      </c>
      <c r="J210" s="22" t="s">
        <v>26</v>
      </c>
      <c r="K210" s="25">
        <f>Table1[[#This Row],[Quantity]]*Table1[[#This Row],[Unit Price]]</f>
        <v>25193</v>
      </c>
      <c r="L210" s="24">
        <f>Table1[[#This Row],[Revenue]]-Table1[[#This Row],[Cost Price]]*Table1[[#This Row],[Quantity]]</f>
        <v>8393</v>
      </c>
      <c r="M210" s="26">
        <f>IFERROR(Table1[[#This Row],[Profit]]/Table1[[#This Row],[Revenue]],"")</f>
        <v>0.33314809669352596</v>
      </c>
      <c r="N210" s="22"/>
      <c r="O210" s="42" t="s">
        <v>298</v>
      </c>
      <c r="P210" s="27" cm="1">
        <f t="array" ref="P210:AA210">_xlfn.XLOOKUP(O210,Table1[Order ID],Table1[[Order Date]:[Profit Margin]],0,0,1)</f>
        <v>45915</v>
      </c>
      <c r="Q210" s="22" t="str">
        <v>Smart Watch</v>
      </c>
      <c r="R210" s="22" t="str">
        <v>Electronics</v>
      </c>
      <c r="S210" s="22" t="str">
        <v>West</v>
      </c>
      <c r="T210" s="22">
        <v>7</v>
      </c>
      <c r="U210" s="22">
        <v>3599</v>
      </c>
      <c r="V210" s="22">
        <v>2400</v>
      </c>
      <c r="W210" s="22" t="str">
        <v>Delivered</v>
      </c>
      <c r="X210" s="22" t="str">
        <v>Credit Card</v>
      </c>
      <c r="Y210" s="22">
        <v>25193</v>
      </c>
      <c r="Z210" s="22">
        <v>8393</v>
      </c>
      <c r="AA210" s="43">
        <v>0.33314809669352596</v>
      </c>
      <c r="AB210" s="15"/>
    </row>
    <row r="211" spans="1:28" x14ac:dyDescent="0.3">
      <c r="A211" s="37" t="s">
        <v>208</v>
      </c>
      <c r="B211" s="38">
        <v>45916</v>
      </c>
      <c r="C211" s="37" t="s">
        <v>16</v>
      </c>
      <c r="D211" s="37" t="s">
        <v>17</v>
      </c>
      <c r="E211" s="37" t="s">
        <v>23</v>
      </c>
      <c r="F211" s="39">
        <v>1</v>
      </c>
      <c r="G211" s="39">
        <v>3599</v>
      </c>
      <c r="H211" s="39">
        <v>2500</v>
      </c>
      <c r="I211" s="37" t="s">
        <v>14</v>
      </c>
      <c r="J211" s="37" t="s">
        <v>47</v>
      </c>
      <c r="K211" s="40">
        <f>Table1[[#This Row],[Quantity]]*Table1[[#This Row],[Unit Price]]</f>
        <v>3599</v>
      </c>
      <c r="L211" s="39">
        <f>Table1[[#This Row],[Revenue]]-Table1[[#This Row],[Cost Price]]*Table1[[#This Row],[Quantity]]</f>
        <v>1099</v>
      </c>
      <c r="M211" s="41">
        <f>IFERROR(Table1[[#This Row],[Profit]]/Table1[[#This Row],[Revenue]],"")</f>
        <v>0.30536260072242288</v>
      </c>
      <c r="N211" s="22"/>
      <c r="O211" s="49" t="s">
        <v>208</v>
      </c>
      <c r="P211" s="50" cm="1">
        <f t="array" ref="P211:AA211">_xlfn.XLOOKUP(O211,Table1[Order ID],Table1[[Order Date]:[Profit Margin]],0,0,1)</f>
        <v>45916</v>
      </c>
      <c r="Q211" s="37" t="str">
        <v>Mixer Grinder</v>
      </c>
      <c r="R211" s="37" t="str">
        <v>Appliances</v>
      </c>
      <c r="S211" s="37" t="str">
        <v>West</v>
      </c>
      <c r="T211" s="37">
        <v>1</v>
      </c>
      <c r="U211" s="37">
        <v>3599</v>
      </c>
      <c r="V211" s="37">
        <v>2500</v>
      </c>
      <c r="W211" s="37" t="str">
        <v>Returned</v>
      </c>
      <c r="X211" s="37" t="str">
        <v>Debit Card</v>
      </c>
      <c r="Y211" s="37">
        <v>3599</v>
      </c>
      <c r="Z211" s="37">
        <v>1099</v>
      </c>
      <c r="AA211" s="51">
        <v>0.30536260072242288</v>
      </c>
      <c r="AB211" s="15"/>
    </row>
    <row r="212" spans="1:28" x14ac:dyDescent="0.3">
      <c r="A212" s="22" t="s">
        <v>50</v>
      </c>
      <c r="B212" s="23">
        <v>45917</v>
      </c>
      <c r="C212" s="22" t="s">
        <v>51</v>
      </c>
      <c r="D212" s="22" t="s">
        <v>31</v>
      </c>
      <c r="E212" s="22" t="s">
        <v>13</v>
      </c>
      <c r="F212" s="24">
        <v>1</v>
      </c>
      <c r="G212" s="24">
        <v>2799</v>
      </c>
      <c r="H212" s="24">
        <v>1800</v>
      </c>
      <c r="I212" s="22" t="s">
        <v>19</v>
      </c>
      <c r="J212" s="22" t="s">
        <v>52</v>
      </c>
      <c r="K212" s="25">
        <f>Table1[[#This Row],[Quantity]]*Table1[[#This Row],[Unit Price]]</f>
        <v>2799</v>
      </c>
      <c r="L212" s="24">
        <f>Table1[[#This Row],[Revenue]]-Table1[[#This Row],[Cost Price]]*Table1[[#This Row],[Quantity]]</f>
        <v>999</v>
      </c>
      <c r="M212" s="26">
        <f>IFERROR(Table1[[#This Row],[Profit]]/Table1[[#This Row],[Revenue]],"")</f>
        <v>0.35691318327974275</v>
      </c>
      <c r="N212" s="22"/>
      <c r="O212" s="42" t="s">
        <v>50</v>
      </c>
      <c r="P212" s="27" cm="1">
        <f t="array" ref="P212:AA212">_xlfn.XLOOKUP(O212,Table1[Order ID],Table1[[Order Date]:[Profit Margin]],0,0,1)</f>
        <v>45917</v>
      </c>
      <c r="Q212" s="22" t="str">
        <v>Bluetooth Speaker</v>
      </c>
      <c r="R212" s="22" t="str">
        <v>Electronics</v>
      </c>
      <c r="S212" s="22" t="str">
        <v>South</v>
      </c>
      <c r="T212" s="22">
        <v>1</v>
      </c>
      <c r="U212" s="22">
        <v>2799</v>
      </c>
      <c r="V212" s="22">
        <v>1800</v>
      </c>
      <c r="W212" s="22" t="str">
        <v>Delivered</v>
      </c>
      <c r="X212" s="22" t="str">
        <v>Cash</v>
      </c>
      <c r="Y212" s="22">
        <v>2799</v>
      </c>
      <c r="Z212" s="22">
        <v>999</v>
      </c>
      <c r="AA212" s="43">
        <v>0.35691318327974275</v>
      </c>
      <c r="AB212" s="15"/>
    </row>
    <row r="213" spans="1:28" x14ac:dyDescent="0.3">
      <c r="A213" s="37" t="s">
        <v>61</v>
      </c>
      <c r="B213" s="38">
        <v>45921</v>
      </c>
      <c r="C213" s="37" t="s">
        <v>54</v>
      </c>
      <c r="D213" s="37" t="s">
        <v>27</v>
      </c>
      <c r="E213" s="37" t="s">
        <v>13</v>
      </c>
      <c r="F213" s="39">
        <v>9</v>
      </c>
      <c r="G213" s="39">
        <v>499</v>
      </c>
      <c r="H213" s="39">
        <v>180</v>
      </c>
      <c r="I213" s="37" t="s">
        <v>14</v>
      </c>
      <c r="J213" s="37" t="s">
        <v>55</v>
      </c>
      <c r="K213" s="40">
        <f>Table1[[#This Row],[Quantity]]*Table1[[#This Row],[Unit Price]]</f>
        <v>4491</v>
      </c>
      <c r="L213" s="39">
        <f>Table1[[#This Row],[Revenue]]-Table1[[#This Row],[Cost Price]]*Table1[[#This Row],[Quantity]]</f>
        <v>2871</v>
      </c>
      <c r="M213" s="41">
        <f>IFERROR(Table1[[#This Row],[Profit]]/Table1[[#This Row],[Revenue]],"")</f>
        <v>0.63927855711422843</v>
      </c>
      <c r="N213" s="22"/>
      <c r="O213" s="49" t="s">
        <v>61</v>
      </c>
      <c r="P213" s="50" cm="1">
        <f t="array" ref="P213:AA213">_xlfn.XLOOKUP(O213,Table1[Order ID],Table1[[Order Date]:[Profit Margin]],0,0,1)</f>
        <v>45921</v>
      </c>
      <c r="Q213" s="37" t="str">
        <v>Printer Paper</v>
      </c>
      <c r="R213" s="37" t="str">
        <v>Stationery</v>
      </c>
      <c r="S213" s="37" t="str">
        <v>South</v>
      </c>
      <c r="T213" s="37">
        <v>9</v>
      </c>
      <c r="U213" s="37">
        <v>499</v>
      </c>
      <c r="V213" s="37">
        <v>180</v>
      </c>
      <c r="W213" s="37" t="str">
        <v>Returned</v>
      </c>
      <c r="X213" s="37" t="str">
        <v>Net Banking</v>
      </c>
      <c r="Y213" s="37">
        <v>4491</v>
      </c>
      <c r="Z213" s="37">
        <v>2871</v>
      </c>
      <c r="AA213" s="51">
        <v>0.63927855711422843</v>
      </c>
      <c r="AB213" s="15"/>
    </row>
    <row r="214" spans="1:28" x14ac:dyDescent="0.3">
      <c r="A214" s="22" t="s">
        <v>181</v>
      </c>
      <c r="B214" s="23">
        <v>45923</v>
      </c>
      <c r="C214" s="22" t="s">
        <v>74</v>
      </c>
      <c r="D214" s="22" t="s">
        <v>31</v>
      </c>
      <c r="E214" s="22" t="s">
        <v>32</v>
      </c>
      <c r="F214" s="24">
        <v>5</v>
      </c>
      <c r="G214" s="24">
        <v>1799</v>
      </c>
      <c r="H214" s="24">
        <v>1200</v>
      </c>
      <c r="I214" s="22" t="s">
        <v>24</v>
      </c>
      <c r="J214" s="22" t="s">
        <v>26</v>
      </c>
      <c r="K214" s="25">
        <f>Table1[[#This Row],[Quantity]]*Table1[[#This Row],[Unit Price]]</f>
        <v>8995</v>
      </c>
      <c r="L214" s="24">
        <f>Table1[[#This Row],[Revenue]]-Table1[[#This Row],[Cost Price]]*Table1[[#This Row],[Quantity]]</f>
        <v>2995</v>
      </c>
      <c r="M214" s="26">
        <f>IFERROR(Table1[[#This Row],[Profit]]/Table1[[#This Row],[Revenue]],"")</f>
        <v>0.33296275708727069</v>
      </c>
      <c r="N214" s="22"/>
      <c r="O214" s="42" t="s">
        <v>181</v>
      </c>
      <c r="P214" s="27" cm="1">
        <f t="array" ref="P214:AA214">_xlfn.XLOOKUP(O214,Table1[Order ID],Table1[[Order Date]:[Profit Margin]],0,0,1)</f>
        <v>45923</v>
      </c>
      <c r="Q214" s="22" t="str">
        <v>Boat Headphones</v>
      </c>
      <c r="R214" s="22" t="str">
        <v>Electronics</v>
      </c>
      <c r="S214" s="22" t="str">
        <v>North</v>
      </c>
      <c r="T214" s="22">
        <v>5</v>
      </c>
      <c r="U214" s="22">
        <v>1799</v>
      </c>
      <c r="V214" s="22">
        <v>1200</v>
      </c>
      <c r="W214" s="22" t="str">
        <v>Cancelled</v>
      </c>
      <c r="X214" s="22" t="str">
        <v>Credit Card</v>
      </c>
      <c r="Y214" s="22">
        <v>8995</v>
      </c>
      <c r="Z214" s="22">
        <v>2995</v>
      </c>
      <c r="AA214" s="43">
        <v>0.33296275708727069</v>
      </c>
      <c r="AB214" s="15"/>
    </row>
    <row r="215" spans="1:28" x14ac:dyDescent="0.3">
      <c r="A215" s="37" t="s">
        <v>308</v>
      </c>
      <c r="B215" s="38">
        <v>45923</v>
      </c>
      <c r="C215" s="37" t="s">
        <v>51</v>
      </c>
      <c r="D215" s="37" t="s">
        <v>31</v>
      </c>
      <c r="E215" s="37" t="s">
        <v>18</v>
      </c>
      <c r="F215" s="39">
        <v>8</v>
      </c>
      <c r="G215" s="39">
        <v>3199</v>
      </c>
      <c r="H215" s="39">
        <v>1800</v>
      </c>
      <c r="I215" s="37" t="s">
        <v>14</v>
      </c>
      <c r="J215" s="37" t="s">
        <v>47</v>
      </c>
      <c r="K215" s="40">
        <f>Table1[[#This Row],[Quantity]]*Table1[[#This Row],[Unit Price]]</f>
        <v>25592</v>
      </c>
      <c r="L215" s="39">
        <f>Table1[[#This Row],[Revenue]]-Table1[[#This Row],[Cost Price]]*Table1[[#This Row],[Quantity]]</f>
        <v>11192</v>
      </c>
      <c r="M215" s="41">
        <f>IFERROR(Table1[[#This Row],[Profit]]/Table1[[#This Row],[Revenue]],"")</f>
        <v>0.43732416380118788</v>
      </c>
      <c r="N215" s="22"/>
      <c r="O215" s="49" t="s">
        <v>308</v>
      </c>
      <c r="P215" s="50" cm="1">
        <f t="array" ref="P215:AA215">_xlfn.XLOOKUP(O215,Table1[Order ID],Table1[[Order Date]:[Profit Margin]],0,0,1)</f>
        <v>45923</v>
      </c>
      <c r="Q215" s="37" t="str">
        <v>Bluetooth Speaker</v>
      </c>
      <c r="R215" s="37" t="str">
        <v>Electronics</v>
      </c>
      <c r="S215" s="37" t="str">
        <v>Central</v>
      </c>
      <c r="T215" s="37">
        <v>8</v>
      </c>
      <c r="U215" s="37">
        <v>3199</v>
      </c>
      <c r="V215" s="37">
        <v>1800</v>
      </c>
      <c r="W215" s="37" t="str">
        <v>Returned</v>
      </c>
      <c r="X215" s="37" t="str">
        <v>Debit Card</v>
      </c>
      <c r="Y215" s="37">
        <v>25592</v>
      </c>
      <c r="Z215" s="37">
        <v>11192</v>
      </c>
      <c r="AA215" s="51">
        <v>0.43732416380118788</v>
      </c>
      <c r="AB215" s="15"/>
    </row>
    <row r="216" spans="1:28" x14ac:dyDescent="0.3">
      <c r="A216" s="22" t="s">
        <v>59</v>
      </c>
      <c r="B216" s="23">
        <v>45927</v>
      </c>
      <c r="C216" s="22" t="s">
        <v>60</v>
      </c>
      <c r="D216" s="22" t="s">
        <v>31</v>
      </c>
      <c r="E216" s="22" t="s">
        <v>18</v>
      </c>
      <c r="F216" s="24">
        <v>10</v>
      </c>
      <c r="G216" s="24">
        <v>3399</v>
      </c>
      <c r="H216" s="24">
        <v>2400</v>
      </c>
      <c r="I216" s="22" t="s">
        <v>14</v>
      </c>
      <c r="J216" s="22" t="s">
        <v>26</v>
      </c>
      <c r="K216" s="25">
        <f>Table1[[#This Row],[Quantity]]*Table1[[#This Row],[Unit Price]]</f>
        <v>33990</v>
      </c>
      <c r="L216" s="24">
        <f>Table1[[#This Row],[Revenue]]-Table1[[#This Row],[Cost Price]]*Table1[[#This Row],[Quantity]]</f>
        <v>9990</v>
      </c>
      <c r="M216" s="26">
        <f>IFERROR(Table1[[#This Row],[Profit]]/Table1[[#This Row],[Revenue]],"")</f>
        <v>0.29390997352162401</v>
      </c>
      <c r="N216" s="22"/>
      <c r="O216" s="42" t="s">
        <v>59</v>
      </c>
      <c r="P216" s="27" cm="1">
        <f t="array" ref="P216:AA216">_xlfn.XLOOKUP(O216,Table1[Order ID],Table1[[Order Date]:[Profit Margin]],0,0,1)</f>
        <v>45927</v>
      </c>
      <c r="Q216" s="22" t="str">
        <v>Smart Watch</v>
      </c>
      <c r="R216" s="22" t="str">
        <v>Electronics</v>
      </c>
      <c r="S216" s="22" t="str">
        <v>Central</v>
      </c>
      <c r="T216" s="22">
        <v>10</v>
      </c>
      <c r="U216" s="22">
        <v>3399</v>
      </c>
      <c r="V216" s="22">
        <v>2400</v>
      </c>
      <c r="W216" s="22" t="str">
        <v>Returned</v>
      </c>
      <c r="X216" s="22" t="str">
        <v>Credit Card</v>
      </c>
      <c r="Y216" s="22">
        <v>33990</v>
      </c>
      <c r="Z216" s="22">
        <v>9990</v>
      </c>
      <c r="AA216" s="43">
        <v>0.29390997352162401</v>
      </c>
      <c r="AB216" s="15"/>
    </row>
    <row r="217" spans="1:28" x14ac:dyDescent="0.3">
      <c r="A217" s="37" t="s">
        <v>266</v>
      </c>
      <c r="B217" s="38">
        <v>45930</v>
      </c>
      <c r="C217" s="37" t="s">
        <v>74</v>
      </c>
      <c r="D217" s="37" t="s">
        <v>31</v>
      </c>
      <c r="E217" s="37" t="s">
        <v>18</v>
      </c>
      <c r="F217" s="39">
        <v>10</v>
      </c>
      <c r="G217" s="39">
        <v>2099</v>
      </c>
      <c r="H217" s="39">
        <v>1200</v>
      </c>
      <c r="I217" s="37" t="s">
        <v>19</v>
      </c>
      <c r="J217" s="37" t="s">
        <v>52</v>
      </c>
      <c r="K217" s="40">
        <f>Table1[[#This Row],[Quantity]]*Table1[[#This Row],[Unit Price]]</f>
        <v>20990</v>
      </c>
      <c r="L217" s="39">
        <f>Table1[[#This Row],[Revenue]]-Table1[[#This Row],[Cost Price]]*Table1[[#This Row],[Quantity]]</f>
        <v>8990</v>
      </c>
      <c r="M217" s="41">
        <f>IFERROR(Table1[[#This Row],[Profit]]/Table1[[#This Row],[Revenue]],"")</f>
        <v>0.42829919009051931</v>
      </c>
      <c r="N217" s="22"/>
      <c r="O217" s="49" t="s">
        <v>266</v>
      </c>
      <c r="P217" s="50" cm="1">
        <f t="array" ref="P217:AA217">_xlfn.XLOOKUP(O217,Table1[Order ID],Table1[[Order Date]:[Profit Margin]],0,0,1)</f>
        <v>45930</v>
      </c>
      <c r="Q217" s="37" t="str">
        <v>Boat Headphones</v>
      </c>
      <c r="R217" s="37" t="str">
        <v>Electronics</v>
      </c>
      <c r="S217" s="37" t="str">
        <v>Central</v>
      </c>
      <c r="T217" s="37">
        <v>10</v>
      </c>
      <c r="U217" s="37">
        <v>2099</v>
      </c>
      <c r="V217" s="37">
        <v>1200</v>
      </c>
      <c r="W217" s="37" t="str">
        <v>Delivered</v>
      </c>
      <c r="X217" s="37" t="str">
        <v>Cash</v>
      </c>
      <c r="Y217" s="37">
        <v>20990</v>
      </c>
      <c r="Z217" s="37">
        <v>8990</v>
      </c>
      <c r="AA217" s="51">
        <v>0.42829919009051931</v>
      </c>
      <c r="AB217" s="15"/>
    </row>
    <row r="218" spans="1:28" x14ac:dyDescent="0.3">
      <c r="A218" s="22" t="s">
        <v>121</v>
      </c>
      <c r="B218" s="23">
        <v>45931</v>
      </c>
      <c r="C218" s="22" t="s">
        <v>30</v>
      </c>
      <c r="D218" s="22" t="s">
        <v>31</v>
      </c>
      <c r="E218" s="22" t="s">
        <v>13</v>
      </c>
      <c r="F218" s="24">
        <v>8</v>
      </c>
      <c r="G218" s="24">
        <v>16199</v>
      </c>
      <c r="H218" s="24">
        <v>13500</v>
      </c>
      <c r="I218" s="22" t="s">
        <v>19</v>
      </c>
      <c r="J218" s="22" t="s">
        <v>52</v>
      </c>
      <c r="K218" s="25">
        <f>Table1[[#This Row],[Quantity]]*Table1[[#This Row],[Unit Price]]</f>
        <v>129592</v>
      </c>
      <c r="L218" s="24">
        <f>Table1[[#This Row],[Revenue]]-Table1[[#This Row],[Cost Price]]*Table1[[#This Row],[Quantity]]</f>
        <v>21592</v>
      </c>
      <c r="M218" s="26">
        <f>IFERROR(Table1[[#This Row],[Profit]]/Table1[[#This Row],[Revenue]],"")</f>
        <v>0.16661522316192356</v>
      </c>
      <c r="N218" s="22"/>
      <c r="O218" s="42" t="s">
        <v>121</v>
      </c>
      <c r="P218" s="27" cm="1">
        <f t="array" ref="P218:AA218">_xlfn.XLOOKUP(O218,Table1[Order ID],Table1[[Order Date]:[Profit Margin]],0,0,1)</f>
        <v>45931</v>
      </c>
      <c r="Q218" s="22" t="str">
        <v>Redmi Note 13</v>
      </c>
      <c r="R218" s="22" t="str">
        <v>Electronics</v>
      </c>
      <c r="S218" s="22" t="str">
        <v>South</v>
      </c>
      <c r="T218" s="22">
        <v>8</v>
      </c>
      <c r="U218" s="22">
        <v>16199</v>
      </c>
      <c r="V218" s="22">
        <v>13500</v>
      </c>
      <c r="W218" s="22" t="str">
        <v>Delivered</v>
      </c>
      <c r="X218" s="22" t="str">
        <v>Cash</v>
      </c>
      <c r="Y218" s="22">
        <v>129592</v>
      </c>
      <c r="Z218" s="22">
        <v>21592</v>
      </c>
      <c r="AA218" s="43">
        <v>0.16661522316192356</v>
      </c>
      <c r="AB218" s="15"/>
    </row>
    <row r="219" spans="1:28" x14ac:dyDescent="0.3">
      <c r="A219" s="37" t="s">
        <v>297</v>
      </c>
      <c r="B219" s="38">
        <v>45933</v>
      </c>
      <c r="C219" s="37" t="s">
        <v>51</v>
      </c>
      <c r="D219" s="37" t="s">
        <v>31</v>
      </c>
      <c r="E219" s="37" t="s">
        <v>32</v>
      </c>
      <c r="F219" s="39">
        <v>4</v>
      </c>
      <c r="G219" s="39">
        <v>3099</v>
      </c>
      <c r="H219" s="39">
        <v>1800</v>
      </c>
      <c r="I219" s="37" t="s">
        <v>14</v>
      </c>
      <c r="J219" s="37" t="s">
        <v>47</v>
      </c>
      <c r="K219" s="40">
        <f>Table1[[#This Row],[Quantity]]*Table1[[#This Row],[Unit Price]]</f>
        <v>12396</v>
      </c>
      <c r="L219" s="39">
        <f>Table1[[#This Row],[Revenue]]-Table1[[#This Row],[Cost Price]]*Table1[[#This Row],[Quantity]]</f>
        <v>5196</v>
      </c>
      <c r="M219" s="41">
        <f>IFERROR(Table1[[#This Row],[Profit]]/Table1[[#This Row],[Revenue]],"")</f>
        <v>0.41916747337850918</v>
      </c>
      <c r="N219" s="22"/>
      <c r="O219" s="49" t="s">
        <v>297</v>
      </c>
      <c r="P219" s="50" cm="1">
        <f t="array" ref="P219:AA219">_xlfn.XLOOKUP(O219,Table1[Order ID],Table1[[Order Date]:[Profit Margin]],0,0,1)</f>
        <v>45933</v>
      </c>
      <c r="Q219" s="37" t="str">
        <v>Bluetooth Speaker</v>
      </c>
      <c r="R219" s="37" t="str">
        <v>Electronics</v>
      </c>
      <c r="S219" s="37" t="str">
        <v>North</v>
      </c>
      <c r="T219" s="37">
        <v>4</v>
      </c>
      <c r="U219" s="37">
        <v>3099</v>
      </c>
      <c r="V219" s="37">
        <v>1800</v>
      </c>
      <c r="W219" s="37" t="str">
        <v>Returned</v>
      </c>
      <c r="X219" s="37" t="str">
        <v>Debit Card</v>
      </c>
      <c r="Y219" s="37">
        <v>12396</v>
      </c>
      <c r="Z219" s="37">
        <v>5196</v>
      </c>
      <c r="AA219" s="51">
        <v>0.41916747337850918</v>
      </c>
      <c r="AB219" s="15"/>
    </row>
    <row r="220" spans="1:28" x14ac:dyDescent="0.3">
      <c r="A220" s="22" t="s">
        <v>138</v>
      </c>
      <c r="B220" s="23">
        <v>45934</v>
      </c>
      <c r="C220" s="22" t="s">
        <v>65</v>
      </c>
      <c r="D220" s="22" t="s">
        <v>12</v>
      </c>
      <c r="E220" s="22" t="s">
        <v>32</v>
      </c>
      <c r="F220" s="24">
        <v>10</v>
      </c>
      <c r="G220" s="24">
        <v>5599</v>
      </c>
      <c r="H220" s="24">
        <v>3800</v>
      </c>
      <c r="I220" s="22" t="s">
        <v>19</v>
      </c>
      <c r="J220" s="22" t="s">
        <v>26</v>
      </c>
      <c r="K220" s="25">
        <f>Table1[[#This Row],[Quantity]]*Table1[[#This Row],[Unit Price]]</f>
        <v>55990</v>
      </c>
      <c r="L220" s="24">
        <f>Table1[[#This Row],[Revenue]]-Table1[[#This Row],[Cost Price]]*Table1[[#This Row],[Quantity]]</f>
        <v>17990</v>
      </c>
      <c r="M220" s="26">
        <f>IFERROR(Table1[[#This Row],[Profit]]/Table1[[#This Row],[Revenue]],"")</f>
        <v>0.32130737631719952</v>
      </c>
      <c r="N220" s="22"/>
      <c r="O220" s="42" t="s">
        <v>138</v>
      </c>
      <c r="P220" s="27" cm="1">
        <f t="array" ref="P220:AA220">_xlfn.XLOOKUP(O220,Table1[Order ID],Table1[[Order Date]:[Profit Margin]],0,0,1)</f>
        <v>45934</v>
      </c>
      <c r="Q220" s="22" t="str">
        <v>Office Chair</v>
      </c>
      <c r="R220" s="22" t="str">
        <v>Furniture</v>
      </c>
      <c r="S220" s="22" t="str">
        <v>North</v>
      </c>
      <c r="T220" s="22">
        <v>10</v>
      </c>
      <c r="U220" s="22">
        <v>5599</v>
      </c>
      <c r="V220" s="22">
        <v>3800</v>
      </c>
      <c r="W220" s="22" t="str">
        <v>Delivered</v>
      </c>
      <c r="X220" s="22" t="str">
        <v>Credit Card</v>
      </c>
      <c r="Y220" s="22">
        <v>55990</v>
      </c>
      <c r="Z220" s="22">
        <v>17990</v>
      </c>
      <c r="AA220" s="43">
        <v>0.32130737631719952</v>
      </c>
      <c r="AB220" s="15"/>
    </row>
    <row r="221" spans="1:28" x14ac:dyDescent="0.3">
      <c r="A221" s="37" t="s">
        <v>154</v>
      </c>
      <c r="B221" s="38">
        <v>45934</v>
      </c>
      <c r="C221" s="37" t="s">
        <v>91</v>
      </c>
      <c r="D221" s="37" t="s">
        <v>38</v>
      </c>
      <c r="E221" s="37" t="s">
        <v>18</v>
      </c>
      <c r="F221" s="39">
        <v>1</v>
      </c>
      <c r="G221" s="39">
        <v>799</v>
      </c>
      <c r="H221" s="39">
        <v>500</v>
      </c>
      <c r="I221" s="37" t="s">
        <v>19</v>
      </c>
      <c r="J221" s="37" t="s">
        <v>55</v>
      </c>
      <c r="K221" s="40">
        <f>Table1[[#This Row],[Quantity]]*Table1[[#This Row],[Unit Price]]</f>
        <v>799</v>
      </c>
      <c r="L221" s="39">
        <f>Table1[[#This Row],[Revenue]]-Table1[[#This Row],[Cost Price]]*Table1[[#This Row],[Quantity]]</f>
        <v>299</v>
      </c>
      <c r="M221" s="41">
        <f>IFERROR(Table1[[#This Row],[Profit]]/Table1[[#This Row],[Revenue]],"")</f>
        <v>0.37421777221526908</v>
      </c>
      <c r="N221" s="22"/>
      <c r="O221" s="49" t="s">
        <v>154</v>
      </c>
      <c r="P221" s="50" cm="1">
        <f t="array" ref="P221:AA221">_xlfn.XLOOKUP(O221,Table1[Order ID],Table1[[Order Date]:[Profit Margin]],0,0,1)</f>
        <v>45934</v>
      </c>
      <c r="Q221" s="37" t="str">
        <v>LED Desk Lamp</v>
      </c>
      <c r="R221" s="37" t="str">
        <v>Home Decor</v>
      </c>
      <c r="S221" s="37" t="str">
        <v>Central</v>
      </c>
      <c r="T221" s="37">
        <v>1</v>
      </c>
      <c r="U221" s="37">
        <v>799</v>
      </c>
      <c r="V221" s="37">
        <v>500</v>
      </c>
      <c r="W221" s="37" t="str">
        <v>Delivered</v>
      </c>
      <c r="X221" s="37" t="str">
        <v>Net Banking</v>
      </c>
      <c r="Y221" s="37">
        <v>799</v>
      </c>
      <c r="Z221" s="37">
        <v>299</v>
      </c>
      <c r="AA221" s="51">
        <v>0.37421777221526908</v>
      </c>
      <c r="AB221" s="15"/>
    </row>
    <row r="222" spans="1:28" x14ac:dyDescent="0.3">
      <c r="A222" s="22" t="s">
        <v>285</v>
      </c>
      <c r="B222" s="23">
        <v>45935</v>
      </c>
      <c r="C222" s="22" t="s">
        <v>91</v>
      </c>
      <c r="D222" s="22" t="s">
        <v>38</v>
      </c>
      <c r="E222" s="22" t="s">
        <v>23</v>
      </c>
      <c r="F222" s="24">
        <v>10</v>
      </c>
      <c r="G222" s="24">
        <v>899</v>
      </c>
      <c r="H222" s="24">
        <v>500</v>
      </c>
      <c r="I222" s="22" t="s">
        <v>33</v>
      </c>
      <c r="J222" s="22" t="s">
        <v>52</v>
      </c>
      <c r="K222" s="25">
        <f>Table1[[#This Row],[Quantity]]*Table1[[#This Row],[Unit Price]]</f>
        <v>8990</v>
      </c>
      <c r="L222" s="24">
        <f>Table1[[#This Row],[Revenue]]-Table1[[#This Row],[Cost Price]]*Table1[[#This Row],[Quantity]]</f>
        <v>3990</v>
      </c>
      <c r="M222" s="26">
        <f>IFERROR(Table1[[#This Row],[Profit]]/Table1[[#This Row],[Revenue]],"")</f>
        <v>0.44382647385984425</v>
      </c>
      <c r="N222" s="22"/>
      <c r="O222" s="42" t="s">
        <v>285</v>
      </c>
      <c r="P222" s="27" cm="1">
        <f t="array" ref="P222:AA222">_xlfn.XLOOKUP(O222,Table1[Order ID],Table1[[Order Date]:[Profit Margin]],0,0,1)</f>
        <v>45935</v>
      </c>
      <c r="Q222" s="22" t="str">
        <v>LED Desk Lamp</v>
      </c>
      <c r="R222" s="22" t="str">
        <v>Home Decor</v>
      </c>
      <c r="S222" s="22" t="str">
        <v>West</v>
      </c>
      <c r="T222" s="22">
        <v>10</v>
      </c>
      <c r="U222" s="22">
        <v>899</v>
      </c>
      <c r="V222" s="22">
        <v>500</v>
      </c>
      <c r="W222" s="22" t="str">
        <v>Shipped</v>
      </c>
      <c r="X222" s="22" t="str">
        <v>Cash</v>
      </c>
      <c r="Y222" s="22">
        <v>8990</v>
      </c>
      <c r="Z222" s="22">
        <v>3990</v>
      </c>
      <c r="AA222" s="43">
        <v>0.44382647385984425</v>
      </c>
      <c r="AB222" s="15"/>
    </row>
    <row r="223" spans="1:28" x14ac:dyDescent="0.3">
      <c r="A223" s="37" t="s">
        <v>293</v>
      </c>
      <c r="B223" s="38">
        <v>45935</v>
      </c>
      <c r="C223" s="37" t="s">
        <v>57</v>
      </c>
      <c r="D223" s="37" t="s">
        <v>17</v>
      </c>
      <c r="E223" s="37" t="s">
        <v>32</v>
      </c>
      <c r="F223" s="39">
        <v>7</v>
      </c>
      <c r="G223" s="39">
        <v>8999</v>
      </c>
      <c r="H223" s="39">
        <v>7000</v>
      </c>
      <c r="I223" s="37" t="s">
        <v>19</v>
      </c>
      <c r="J223" s="37" t="s">
        <v>55</v>
      </c>
      <c r="K223" s="40">
        <f>Table1[[#This Row],[Quantity]]*Table1[[#This Row],[Unit Price]]</f>
        <v>62993</v>
      </c>
      <c r="L223" s="39">
        <f>Table1[[#This Row],[Revenue]]-Table1[[#This Row],[Cost Price]]*Table1[[#This Row],[Quantity]]</f>
        <v>13993</v>
      </c>
      <c r="M223" s="41">
        <f>IFERROR(Table1[[#This Row],[Profit]]/Table1[[#This Row],[Revenue]],"")</f>
        <v>0.22213579286587398</v>
      </c>
      <c r="N223" s="22"/>
      <c r="O223" s="49" t="s">
        <v>293</v>
      </c>
      <c r="P223" s="50" cm="1">
        <f t="array" ref="P223:AA223">_xlfn.XLOOKUP(O223,Table1[Order ID],Table1[[Order Date]:[Profit Margin]],0,0,1)</f>
        <v>45935</v>
      </c>
      <c r="Q223" s="37" t="str">
        <v>Water Purifier</v>
      </c>
      <c r="R223" s="37" t="str">
        <v>Appliances</v>
      </c>
      <c r="S223" s="37" t="str">
        <v>North</v>
      </c>
      <c r="T223" s="37">
        <v>7</v>
      </c>
      <c r="U223" s="37">
        <v>8999</v>
      </c>
      <c r="V223" s="37">
        <v>7000</v>
      </c>
      <c r="W223" s="37" t="str">
        <v>Delivered</v>
      </c>
      <c r="X223" s="37" t="str">
        <v>Net Banking</v>
      </c>
      <c r="Y223" s="37">
        <v>62993</v>
      </c>
      <c r="Z223" s="37">
        <v>13993</v>
      </c>
      <c r="AA223" s="51">
        <v>0.22213579286587398</v>
      </c>
      <c r="AB223" s="15"/>
    </row>
    <row r="224" spans="1:28" x14ac:dyDescent="0.3">
      <c r="A224" s="22" t="s">
        <v>82</v>
      </c>
      <c r="B224" s="23">
        <v>45936</v>
      </c>
      <c r="C224" s="22" t="s">
        <v>51</v>
      </c>
      <c r="D224" s="22" t="s">
        <v>31</v>
      </c>
      <c r="E224" s="22" t="s">
        <v>18</v>
      </c>
      <c r="F224" s="24">
        <v>2</v>
      </c>
      <c r="G224" s="24">
        <v>3099</v>
      </c>
      <c r="H224" s="24">
        <v>1800</v>
      </c>
      <c r="I224" s="22" t="s">
        <v>33</v>
      </c>
      <c r="J224" s="22" t="s">
        <v>26</v>
      </c>
      <c r="K224" s="25">
        <f>Table1[[#This Row],[Quantity]]*Table1[[#This Row],[Unit Price]]</f>
        <v>6198</v>
      </c>
      <c r="L224" s="24">
        <f>Table1[[#This Row],[Revenue]]-Table1[[#This Row],[Cost Price]]*Table1[[#This Row],[Quantity]]</f>
        <v>2598</v>
      </c>
      <c r="M224" s="26">
        <f>IFERROR(Table1[[#This Row],[Profit]]/Table1[[#This Row],[Revenue]],"")</f>
        <v>0.41916747337850918</v>
      </c>
      <c r="N224" s="22"/>
      <c r="O224" s="42" t="s">
        <v>82</v>
      </c>
      <c r="P224" s="27" cm="1">
        <f t="array" ref="P224:AA224">_xlfn.XLOOKUP(O224,Table1[Order ID],Table1[[Order Date]:[Profit Margin]],0,0,1)</f>
        <v>45936</v>
      </c>
      <c r="Q224" s="22" t="str">
        <v>Bluetooth Speaker</v>
      </c>
      <c r="R224" s="22" t="str">
        <v>Electronics</v>
      </c>
      <c r="S224" s="22" t="str">
        <v>Central</v>
      </c>
      <c r="T224" s="22">
        <v>2</v>
      </c>
      <c r="U224" s="22">
        <v>3099</v>
      </c>
      <c r="V224" s="22">
        <v>1800</v>
      </c>
      <c r="W224" s="22" t="str">
        <v>Shipped</v>
      </c>
      <c r="X224" s="22" t="str">
        <v>Credit Card</v>
      </c>
      <c r="Y224" s="22">
        <v>6198</v>
      </c>
      <c r="Z224" s="22">
        <v>2598</v>
      </c>
      <c r="AA224" s="43">
        <v>0.41916747337850918</v>
      </c>
      <c r="AB224" s="15"/>
    </row>
    <row r="225" spans="1:28" x14ac:dyDescent="0.3">
      <c r="A225" s="37" t="s">
        <v>212</v>
      </c>
      <c r="B225" s="38">
        <v>45936</v>
      </c>
      <c r="C225" s="37" t="s">
        <v>74</v>
      </c>
      <c r="D225" s="37" t="s">
        <v>31</v>
      </c>
      <c r="E225" s="37" t="s">
        <v>13</v>
      </c>
      <c r="F225" s="39">
        <v>9</v>
      </c>
      <c r="G225" s="39">
        <v>1799</v>
      </c>
      <c r="H225" s="39">
        <v>1200</v>
      </c>
      <c r="I225" s="37" t="s">
        <v>41</v>
      </c>
      <c r="J225" s="37" t="s">
        <v>26</v>
      </c>
      <c r="K225" s="40">
        <f>Table1[[#This Row],[Quantity]]*Table1[[#This Row],[Unit Price]]</f>
        <v>16191</v>
      </c>
      <c r="L225" s="39">
        <f>Table1[[#This Row],[Revenue]]-Table1[[#This Row],[Cost Price]]*Table1[[#This Row],[Quantity]]</f>
        <v>5391</v>
      </c>
      <c r="M225" s="41">
        <f>IFERROR(Table1[[#This Row],[Profit]]/Table1[[#This Row],[Revenue]],"")</f>
        <v>0.33296275708727069</v>
      </c>
      <c r="N225" s="22"/>
      <c r="O225" s="49" t="s">
        <v>212</v>
      </c>
      <c r="P225" s="50" cm="1">
        <f t="array" ref="P225:AA225">_xlfn.XLOOKUP(O225,Table1[Order ID],Table1[[Order Date]:[Profit Margin]],0,0,1)</f>
        <v>45936</v>
      </c>
      <c r="Q225" s="37" t="str">
        <v>Boat Headphones</v>
      </c>
      <c r="R225" s="37" t="str">
        <v>Electronics</v>
      </c>
      <c r="S225" s="37" t="str">
        <v>South</v>
      </c>
      <c r="T225" s="37">
        <v>9</v>
      </c>
      <c r="U225" s="37">
        <v>1799</v>
      </c>
      <c r="V225" s="37">
        <v>1200</v>
      </c>
      <c r="W225" s="37" t="str">
        <v>Processing</v>
      </c>
      <c r="X225" s="37" t="str">
        <v>Credit Card</v>
      </c>
      <c r="Y225" s="37">
        <v>16191</v>
      </c>
      <c r="Z225" s="37">
        <v>5391</v>
      </c>
      <c r="AA225" s="51">
        <v>0.33296275708727069</v>
      </c>
      <c r="AB225" s="15"/>
    </row>
    <row r="226" spans="1:28" x14ac:dyDescent="0.3">
      <c r="A226" s="22" t="s">
        <v>277</v>
      </c>
      <c r="B226" s="23">
        <v>45936</v>
      </c>
      <c r="C226" s="22" t="s">
        <v>44</v>
      </c>
      <c r="D226" s="22" t="s">
        <v>31</v>
      </c>
      <c r="E226" s="22" t="s">
        <v>23</v>
      </c>
      <c r="F226" s="24">
        <v>9</v>
      </c>
      <c r="G226" s="24">
        <v>12799</v>
      </c>
      <c r="H226" s="24">
        <v>10800</v>
      </c>
      <c r="I226" s="22" t="s">
        <v>24</v>
      </c>
      <c r="J226" s="22" t="s">
        <v>34</v>
      </c>
      <c r="K226" s="25">
        <f>Table1[[#This Row],[Quantity]]*Table1[[#This Row],[Unit Price]]</f>
        <v>115191</v>
      </c>
      <c r="L226" s="24">
        <f>Table1[[#This Row],[Revenue]]-Table1[[#This Row],[Cost Price]]*Table1[[#This Row],[Quantity]]</f>
        <v>17991</v>
      </c>
      <c r="M226" s="26">
        <f>IFERROR(Table1[[#This Row],[Profit]]/Table1[[#This Row],[Revenue]],"")</f>
        <v>0.15618407688100633</v>
      </c>
      <c r="N226" s="22"/>
      <c r="O226" s="42" t="s">
        <v>277</v>
      </c>
      <c r="P226" s="27" cm="1">
        <f t="array" ref="P226:AA226">_xlfn.XLOOKUP(O226,Table1[Order ID],Table1[[Order Date]:[Profit Margin]],0,0,1)</f>
        <v>45936</v>
      </c>
      <c r="Q226" s="22" t="str">
        <v>Samsung Galaxy M14</v>
      </c>
      <c r="R226" s="22" t="str">
        <v>Electronics</v>
      </c>
      <c r="S226" s="22" t="str">
        <v>West</v>
      </c>
      <c r="T226" s="22">
        <v>9</v>
      </c>
      <c r="U226" s="22">
        <v>12799</v>
      </c>
      <c r="V226" s="22">
        <v>10800</v>
      </c>
      <c r="W226" s="22" t="str">
        <v>Cancelled</v>
      </c>
      <c r="X226" s="22" t="str">
        <v>UPI</v>
      </c>
      <c r="Y226" s="22">
        <v>115191</v>
      </c>
      <c r="Z226" s="22">
        <v>17991</v>
      </c>
      <c r="AA226" s="43">
        <v>0.15618407688100633</v>
      </c>
      <c r="AB226" s="15"/>
    </row>
    <row r="227" spans="1:28" x14ac:dyDescent="0.3">
      <c r="A227" s="37" t="s">
        <v>326</v>
      </c>
      <c r="B227" s="38">
        <v>45936</v>
      </c>
      <c r="C227" s="37" t="s">
        <v>30</v>
      </c>
      <c r="D227" s="37" t="s">
        <v>31</v>
      </c>
      <c r="E227" s="37" t="s">
        <v>23</v>
      </c>
      <c r="F227" s="39">
        <v>8</v>
      </c>
      <c r="G227" s="39">
        <v>15999</v>
      </c>
      <c r="H227" s="39">
        <v>13500</v>
      </c>
      <c r="I227" s="37" t="s">
        <v>19</v>
      </c>
      <c r="J227" s="37" t="s">
        <v>34</v>
      </c>
      <c r="K227" s="40">
        <f>Table1[[#This Row],[Quantity]]*Table1[[#This Row],[Unit Price]]</f>
        <v>127992</v>
      </c>
      <c r="L227" s="39">
        <f>Table1[[#This Row],[Revenue]]-Table1[[#This Row],[Cost Price]]*Table1[[#This Row],[Quantity]]</f>
        <v>19992</v>
      </c>
      <c r="M227" s="41">
        <f>IFERROR(Table1[[#This Row],[Profit]]/Table1[[#This Row],[Revenue]],"")</f>
        <v>0.15619726232889555</v>
      </c>
      <c r="N227" s="22"/>
      <c r="O227" s="49" t="s">
        <v>326</v>
      </c>
      <c r="P227" s="50" cm="1">
        <f t="array" ref="P227:AA227">_xlfn.XLOOKUP(O227,Table1[Order ID],Table1[[Order Date]:[Profit Margin]],0,0,1)</f>
        <v>45936</v>
      </c>
      <c r="Q227" s="37" t="str">
        <v>Redmi Note 13</v>
      </c>
      <c r="R227" s="37" t="str">
        <v>Electronics</v>
      </c>
      <c r="S227" s="37" t="str">
        <v>West</v>
      </c>
      <c r="T227" s="37">
        <v>8</v>
      </c>
      <c r="U227" s="37">
        <v>15999</v>
      </c>
      <c r="V227" s="37">
        <v>13500</v>
      </c>
      <c r="W227" s="37" t="str">
        <v>Delivered</v>
      </c>
      <c r="X227" s="37" t="str">
        <v>UPI</v>
      </c>
      <c r="Y227" s="37">
        <v>127992</v>
      </c>
      <c r="Z227" s="37">
        <v>19992</v>
      </c>
      <c r="AA227" s="51">
        <v>0.15619726232889555</v>
      </c>
      <c r="AB227" s="15"/>
    </row>
    <row r="228" spans="1:28" x14ac:dyDescent="0.3">
      <c r="A228" s="22" t="s">
        <v>304</v>
      </c>
      <c r="B228" s="23">
        <v>45937</v>
      </c>
      <c r="C228" s="22" t="s">
        <v>37</v>
      </c>
      <c r="D228" s="22" t="s">
        <v>38</v>
      </c>
      <c r="E228" s="22" t="s">
        <v>13</v>
      </c>
      <c r="F228" s="24">
        <v>8</v>
      </c>
      <c r="G228" s="24">
        <v>249</v>
      </c>
      <c r="H228" s="24">
        <v>90</v>
      </c>
      <c r="I228" s="22" t="s">
        <v>24</v>
      </c>
      <c r="J228" s="22" t="s">
        <v>26</v>
      </c>
      <c r="K228" s="25">
        <f>Table1[[#This Row],[Quantity]]*Table1[[#This Row],[Unit Price]]</f>
        <v>1992</v>
      </c>
      <c r="L228" s="24">
        <f>Table1[[#This Row],[Revenue]]-Table1[[#This Row],[Cost Price]]*Table1[[#This Row],[Quantity]]</f>
        <v>1272</v>
      </c>
      <c r="M228" s="26">
        <f>IFERROR(Table1[[#This Row],[Profit]]/Table1[[#This Row],[Revenue]],"")</f>
        <v>0.63855421686746983</v>
      </c>
      <c r="N228" s="22"/>
      <c r="O228" s="42" t="s">
        <v>304</v>
      </c>
      <c r="P228" s="27" cm="1">
        <f t="array" ref="P228:AA228">_xlfn.XLOOKUP(O228,Table1[Order ID],Table1[[Order Date]:[Profit Margin]],0,0,1)</f>
        <v>45937</v>
      </c>
      <c r="Q228" s="22" t="str">
        <v>Coffee Mug</v>
      </c>
      <c r="R228" s="22" t="str">
        <v>Home Decor</v>
      </c>
      <c r="S228" s="22" t="str">
        <v>South</v>
      </c>
      <c r="T228" s="22">
        <v>8</v>
      </c>
      <c r="U228" s="22">
        <v>249</v>
      </c>
      <c r="V228" s="22">
        <v>90</v>
      </c>
      <c r="W228" s="22" t="str">
        <v>Cancelled</v>
      </c>
      <c r="X228" s="22" t="str">
        <v>Credit Card</v>
      </c>
      <c r="Y228" s="22">
        <v>1992</v>
      </c>
      <c r="Z228" s="22">
        <v>1272</v>
      </c>
      <c r="AA228" s="43">
        <v>0.63855421686746983</v>
      </c>
      <c r="AB228" s="15"/>
    </row>
    <row r="229" spans="1:28" x14ac:dyDescent="0.3">
      <c r="A229" s="37" t="s">
        <v>160</v>
      </c>
      <c r="B229" s="38">
        <v>45941</v>
      </c>
      <c r="C229" s="37" t="s">
        <v>44</v>
      </c>
      <c r="D229" s="37" t="s">
        <v>31</v>
      </c>
      <c r="E229" s="37" t="s">
        <v>23</v>
      </c>
      <c r="F229" s="39">
        <v>4</v>
      </c>
      <c r="G229" s="39">
        <v>13199</v>
      </c>
      <c r="H229" s="39">
        <v>10800</v>
      </c>
      <c r="I229" s="37" t="s">
        <v>19</v>
      </c>
      <c r="J229" s="37" t="s">
        <v>26</v>
      </c>
      <c r="K229" s="40">
        <f>Table1[[#This Row],[Quantity]]*Table1[[#This Row],[Unit Price]]</f>
        <v>52796</v>
      </c>
      <c r="L229" s="39">
        <f>Table1[[#This Row],[Revenue]]-Table1[[#This Row],[Cost Price]]*Table1[[#This Row],[Quantity]]</f>
        <v>9596</v>
      </c>
      <c r="M229" s="41">
        <f>IFERROR(Table1[[#This Row],[Profit]]/Table1[[#This Row],[Revenue]],"")</f>
        <v>0.18175619365103418</v>
      </c>
      <c r="N229" s="22"/>
      <c r="O229" s="49" t="s">
        <v>160</v>
      </c>
      <c r="P229" s="50" cm="1">
        <f t="array" ref="P229:AA229">_xlfn.XLOOKUP(O229,Table1[Order ID],Table1[[Order Date]:[Profit Margin]],0,0,1)</f>
        <v>45941</v>
      </c>
      <c r="Q229" s="37" t="str">
        <v>Samsung Galaxy M14</v>
      </c>
      <c r="R229" s="37" t="str">
        <v>Electronics</v>
      </c>
      <c r="S229" s="37" t="str">
        <v>West</v>
      </c>
      <c r="T229" s="37">
        <v>4</v>
      </c>
      <c r="U229" s="37">
        <v>13199</v>
      </c>
      <c r="V229" s="37">
        <v>10800</v>
      </c>
      <c r="W229" s="37" t="str">
        <v>Delivered</v>
      </c>
      <c r="X229" s="37" t="str">
        <v>Credit Card</v>
      </c>
      <c r="Y229" s="37">
        <v>52796</v>
      </c>
      <c r="Z229" s="37">
        <v>9596</v>
      </c>
      <c r="AA229" s="51">
        <v>0.18175619365103418</v>
      </c>
      <c r="AB229" s="15"/>
    </row>
    <row r="230" spans="1:28" x14ac:dyDescent="0.3">
      <c r="A230" s="22" t="s">
        <v>311</v>
      </c>
      <c r="B230" s="23">
        <v>45943</v>
      </c>
      <c r="C230" s="22" t="s">
        <v>44</v>
      </c>
      <c r="D230" s="22" t="s">
        <v>31</v>
      </c>
      <c r="E230" s="22" t="s">
        <v>18</v>
      </c>
      <c r="F230" s="24">
        <v>9</v>
      </c>
      <c r="G230" s="24">
        <v>12899</v>
      </c>
      <c r="H230" s="24">
        <v>10800</v>
      </c>
      <c r="I230" s="22" t="s">
        <v>19</v>
      </c>
      <c r="J230" s="22" t="s">
        <v>34</v>
      </c>
      <c r="K230" s="25">
        <f>Table1[[#This Row],[Quantity]]*Table1[[#This Row],[Unit Price]]</f>
        <v>116091</v>
      </c>
      <c r="L230" s="24">
        <f>Table1[[#This Row],[Revenue]]-Table1[[#This Row],[Cost Price]]*Table1[[#This Row],[Quantity]]</f>
        <v>18891</v>
      </c>
      <c r="M230" s="26">
        <f>IFERROR(Table1[[#This Row],[Profit]]/Table1[[#This Row],[Revenue]],"")</f>
        <v>0.1627257926971083</v>
      </c>
      <c r="N230" s="22"/>
      <c r="O230" s="42" t="s">
        <v>311</v>
      </c>
      <c r="P230" s="27" cm="1">
        <f t="array" ref="P230:AA230">_xlfn.XLOOKUP(O230,Table1[Order ID],Table1[[Order Date]:[Profit Margin]],0,0,1)</f>
        <v>45943</v>
      </c>
      <c r="Q230" s="22" t="str">
        <v>Samsung Galaxy M14</v>
      </c>
      <c r="R230" s="22" t="str">
        <v>Electronics</v>
      </c>
      <c r="S230" s="22" t="str">
        <v>Central</v>
      </c>
      <c r="T230" s="22">
        <v>9</v>
      </c>
      <c r="U230" s="22">
        <v>12899</v>
      </c>
      <c r="V230" s="22">
        <v>10800</v>
      </c>
      <c r="W230" s="22" t="str">
        <v>Delivered</v>
      </c>
      <c r="X230" s="22" t="str">
        <v>UPI</v>
      </c>
      <c r="Y230" s="22">
        <v>116091</v>
      </c>
      <c r="Z230" s="22">
        <v>18891</v>
      </c>
      <c r="AA230" s="43">
        <v>0.1627257926971083</v>
      </c>
      <c r="AB230" s="15"/>
    </row>
    <row r="231" spans="1:28" x14ac:dyDescent="0.3">
      <c r="A231" s="37" t="s">
        <v>145</v>
      </c>
      <c r="B231" s="38">
        <v>45945</v>
      </c>
      <c r="C231" s="37" t="s">
        <v>54</v>
      </c>
      <c r="D231" s="37" t="s">
        <v>27</v>
      </c>
      <c r="E231" s="37" t="s">
        <v>28</v>
      </c>
      <c r="F231" s="39">
        <v>9</v>
      </c>
      <c r="G231" s="39">
        <v>399</v>
      </c>
      <c r="H231" s="39">
        <v>180</v>
      </c>
      <c r="I231" s="37" t="s">
        <v>19</v>
      </c>
      <c r="J231" s="37" t="s">
        <v>55</v>
      </c>
      <c r="K231" s="40">
        <f>Table1[[#This Row],[Quantity]]*Table1[[#This Row],[Unit Price]]</f>
        <v>3591</v>
      </c>
      <c r="L231" s="39">
        <f>Table1[[#This Row],[Revenue]]-Table1[[#This Row],[Cost Price]]*Table1[[#This Row],[Quantity]]</f>
        <v>1971</v>
      </c>
      <c r="M231" s="41">
        <f>IFERROR(Table1[[#This Row],[Profit]]/Table1[[#This Row],[Revenue]],"")</f>
        <v>0.54887218045112784</v>
      </c>
      <c r="N231" s="22"/>
      <c r="O231" s="49" t="s">
        <v>145</v>
      </c>
      <c r="P231" s="50" cm="1">
        <f t="array" ref="P231:AA231">_xlfn.XLOOKUP(O231,Table1[Order ID],Table1[[Order Date]:[Profit Margin]],0,0,1)</f>
        <v>45945</v>
      </c>
      <c r="Q231" s="37" t="str">
        <v>Printer Paper</v>
      </c>
      <c r="R231" s="37" t="str">
        <v>Stationery</v>
      </c>
      <c r="S231" s="37" t="str">
        <v>East</v>
      </c>
      <c r="T231" s="37">
        <v>9</v>
      </c>
      <c r="U231" s="37">
        <v>399</v>
      </c>
      <c r="V231" s="37">
        <v>180</v>
      </c>
      <c r="W231" s="37" t="str">
        <v>Delivered</v>
      </c>
      <c r="X231" s="37" t="str">
        <v>Net Banking</v>
      </c>
      <c r="Y231" s="37">
        <v>3591</v>
      </c>
      <c r="Z231" s="37">
        <v>1971</v>
      </c>
      <c r="AA231" s="51">
        <v>0.54887218045112784</v>
      </c>
      <c r="AB231" s="15"/>
    </row>
    <row r="232" spans="1:28" x14ac:dyDescent="0.3">
      <c r="A232" s="22" t="s">
        <v>228</v>
      </c>
      <c r="B232" s="23">
        <v>45945</v>
      </c>
      <c r="C232" s="22" t="s">
        <v>16</v>
      </c>
      <c r="D232" s="22" t="s">
        <v>17</v>
      </c>
      <c r="E232" s="22" t="s">
        <v>32</v>
      </c>
      <c r="F232" s="24">
        <v>4</v>
      </c>
      <c r="G232" s="24">
        <v>3299</v>
      </c>
      <c r="H232" s="24">
        <v>2500</v>
      </c>
      <c r="I232" s="22" t="s">
        <v>19</v>
      </c>
      <c r="J232" s="22" t="s">
        <v>34</v>
      </c>
      <c r="K232" s="25">
        <f>Table1[[#This Row],[Quantity]]*Table1[[#This Row],[Unit Price]]</f>
        <v>13196</v>
      </c>
      <c r="L232" s="24">
        <f>Table1[[#This Row],[Revenue]]-Table1[[#This Row],[Cost Price]]*Table1[[#This Row],[Quantity]]</f>
        <v>3196</v>
      </c>
      <c r="M232" s="26">
        <f>IFERROR(Table1[[#This Row],[Profit]]/Table1[[#This Row],[Revenue]],"")</f>
        <v>0.24219460442558352</v>
      </c>
      <c r="N232" s="22"/>
      <c r="O232" s="42" t="s">
        <v>228</v>
      </c>
      <c r="P232" s="27" cm="1">
        <f t="array" ref="P232:AA232">_xlfn.XLOOKUP(O232,Table1[Order ID],Table1[[Order Date]:[Profit Margin]],0,0,1)</f>
        <v>45945</v>
      </c>
      <c r="Q232" s="22" t="str">
        <v>Mixer Grinder</v>
      </c>
      <c r="R232" s="22" t="str">
        <v>Appliances</v>
      </c>
      <c r="S232" s="22" t="str">
        <v>North</v>
      </c>
      <c r="T232" s="22">
        <v>4</v>
      </c>
      <c r="U232" s="22">
        <v>3299</v>
      </c>
      <c r="V232" s="22">
        <v>2500</v>
      </c>
      <c r="W232" s="22" t="str">
        <v>Delivered</v>
      </c>
      <c r="X232" s="22" t="str">
        <v>UPI</v>
      </c>
      <c r="Y232" s="22">
        <v>13196</v>
      </c>
      <c r="Z232" s="22">
        <v>3196</v>
      </c>
      <c r="AA232" s="43">
        <v>0.24219460442558352</v>
      </c>
      <c r="AB232" s="15"/>
    </row>
    <row r="233" spans="1:28" x14ac:dyDescent="0.3">
      <c r="A233" s="37" t="s">
        <v>201</v>
      </c>
      <c r="B233" s="38">
        <v>45946</v>
      </c>
      <c r="C233" s="37" t="s">
        <v>51</v>
      </c>
      <c r="D233" s="37" t="s">
        <v>31</v>
      </c>
      <c r="E233" s="37" t="s">
        <v>32</v>
      </c>
      <c r="F233" s="39">
        <v>10</v>
      </c>
      <c r="G233" s="39">
        <v>3099</v>
      </c>
      <c r="H233" s="39">
        <v>1800</v>
      </c>
      <c r="I233" s="37" t="s">
        <v>19</v>
      </c>
      <c r="J233" s="37" t="s">
        <v>55</v>
      </c>
      <c r="K233" s="40">
        <f>Table1[[#This Row],[Quantity]]*Table1[[#This Row],[Unit Price]]</f>
        <v>30990</v>
      </c>
      <c r="L233" s="39">
        <f>Table1[[#This Row],[Revenue]]-Table1[[#This Row],[Cost Price]]*Table1[[#This Row],[Quantity]]</f>
        <v>12990</v>
      </c>
      <c r="M233" s="41">
        <f>IFERROR(Table1[[#This Row],[Profit]]/Table1[[#This Row],[Revenue]],"")</f>
        <v>0.41916747337850918</v>
      </c>
      <c r="N233" s="22"/>
      <c r="O233" s="49" t="s">
        <v>201</v>
      </c>
      <c r="P233" s="50" cm="1">
        <f t="array" ref="P233:AA233">_xlfn.XLOOKUP(O233,Table1[Order ID],Table1[[Order Date]:[Profit Margin]],0,0,1)</f>
        <v>45946</v>
      </c>
      <c r="Q233" s="37" t="str">
        <v>Bluetooth Speaker</v>
      </c>
      <c r="R233" s="37" t="str">
        <v>Electronics</v>
      </c>
      <c r="S233" s="37" t="str">
        <v>North</v>
      </c>
      <c r="T233" s="37">
        <v>10</v>
      </c>
      <c r="U233" s="37">
        <v>3099</v>
      </c>
      <c r="V233" s="37">
        <v>1800</v>
      </c>
      <c r="W233" s="37" t="str">
        <v>Delivered</v>
      </c>
      <c r="X233" s="37" t="str">
        <v>Net Banking</v>
      </c>
      <c r="Y233" s="37">
        <v>30990</v>
      </c>
      <c r="Z233" s="37">
        <v>12990</v>
      </c>
      <c r="AA233" s="51">
        <v>0.41916747337850918</v>
      </c>
      <c r="AB233" s="15"/>
    </row>
    <row r="234" spans="1:28" x14ac:dyDescent="0.3">
      <c r="A234" s="22" t="s">
        <v>185</v>
      </c>
      <c r="B234" s="23">
        <v>45953</v>
      </c>
      <c r="C234" s="22" t="s">
        <v>16</v>
      </c>
      <c r="D234" s="22" t="s">
        <v>17</v>
      </c>
      <c r="E234" s="22" t="s">
        <v>13</v>
      </c>
      <c r="F234" s="24">
        <v>10</v>
      </c>
      <c r="G234" s="24">
        <v>3699</v>
      </c>
      <c r="H234" s="24">
        <v>2500</v>
      </c>
      <c r="I234" s="22" t="s">
        <v>19</v>
      </c>
      <c r="J234" s="22" t="s">
        <v>26</v>
      </c>
      <c r="K234" s="25">
        <f>Table1[[#This Row],[Quantity]]*Table1[[#This Row],[Unit Price]]</f>
        <v>36990</v>
      </c>
      <c r="L234" s="24">
        <f>Table1[[#This Row],[Revenue]]-Table1[[#This Row],[Cost Price]]*Table1[[#This Row],[Quantity]]</f>
        <v>11990</v>
      </c>
      <c r="M234" s="26">
        <f>IFERROR(Table1[[#This Row],[Profit]]/Table1[[#This Row],[Revenue]],"")</f>
        <v>0.32414165990808325</v>
      </c>
      <c r="N234" s="22"/>
      <c r="O234" s="42" t="s">
        <v>185</v>
      </c>
      <c r="P234" s="27" cm="1">
        <f t="array" ref="P234:AA234">_xlfn.XLOOKUP(O234,Table1[Order ID],Table1[[Order Date]:[Profit Margin]],0,0,1)</f>
        <v>45953</v>
      </c>
      <c r="Q234" s="22" t="str">
        <v>Mixer Grinder</v>
      </c>
      <c r="R234" s="22" t="str">
        <v>Appliances</v>
      </c>
      <c r="S234" s="22" t="str">
        <v>South</v>
      </c>
      <c r="T234" s="22">
        <v>10</v>
      </c>
      <c r="U234" s="22">
        <v>3699</v>
      </c>
      <c r="V234" s="22">
        <v>2500</v>
      </c>
      <c r="W234" s="22" t="str">
        <v>Delivered</v>
      </c>
      <c r="X234" s="22" t="str">
        <v>Credit Card</v>
      </c>
      <c r="Y234" s="22">
        <v>36990</v>
      </c>
      <c r="Z234" s="22">
        <v>11990</v>
      </c>
      <c r="AA234" s="43">
        <v>0.32414165990808325</v>
      </c>
      <c r="AB234" s="15"/>
    </row>
    <row r="235" spans="1:28" x14ac:dyDescent="0.3">
      <c r="A235" s="37" t="s">
        <v>203</v>
      </c>
      <c r="B235" s="38">
        <v>45953</v>
      </c>
      <c r="C235" s="37" t="s">
        <v>30</v>
      </c>
      <c r="D235" s="37" t="s">
        <v>31</v>
      </c>
      <c r="E235" s="37" t="s">
        <v>13</v>
      </c>
      <c r="F235" s="39">
        <v>5</v>
      </c>
      <c r="G235" s="39">
        <v>16199</v>
      </c>
      <c r="H235" s="39">
        <v>13500</v>
      </c>
      <c r="I235" s="37" t="s">
        <v>33</v>
      </c>
      <c r="J235" s="37" t="s">
        <v>52</v>
      </c>
      <c r="K235" s="40">
        <f>Table1[[#This Row],[Quantity]]*Table1[[#This Row],[Unit Price]]</f>
        <v>80995</v>
      </c>
      <c r="L235" s="39">
        <f>Table1[[#This Row],[Revenue]]-Table1[[#This Row],[Cost Price]]*Table1[[#This Row],[Quantity]]</f>
        <v>13495</v>
      </c>
      <c r="M235" s="41">
        <f>IFERROR(Table1[[#This Row],[Profit]]/Table1[[#This Row],[Revenue]],"")</f>
        <v>0.16661522316192356</v>
      </c>
      <c r="N235" s="22"/>
      <c r="O235" s="49" t="s">
        <v>203</v>
      </c>
      <c r="P235" s="50" cm="1">
        <f t="array" ref="P235:AA235">_xlfn.XLOOKUP(O235,Table1[Order ID],Table1[[Order Date]:[Profit Margin]],0,0,1)</f>
        <v>45953</v>
      </c>
      <c r="Q235" s="37" t="str">
        <v>Redmi Note 13</v>
      </c>
      <c r="R235" s="37" t="str">
        <v>Electronics</v>
      </c>
      <c r="S235" s="37" t="str">
        <v>South</v>
      </c>
      <c r="T235" s="37">
        <v>5</v>
      </c>
      <c r="U235" s="37">
        <v>16199</v>
      </c>
      <c r="V235" s="37">
        <v>13500</v>
      </c>
      <c r="W235" s="37" t="str">
        <v>Shipped</v>
      </c>
      <c r="X235" s="37" t="str">
        <v>Cash</v>
      </c>
      <c r="Y235" s="37">
        <v>80995</v>
      </c>
      <c r="Z235" s="37">
        <v>13495</v>
      </c>
      <c r="AA235" s="51">
        <v>0.16661522316192356</v>
      </c>
      <c r="AB235" s="15"/>
    </row>
    <row r="236" spans="1:28" x14ac:dyDescent="0.3">
      <c r="A236" s="22" t="s">
        <v>80</v>
      </c>
      <c r="B236" s="23">
        <v>45955</v>
      </c>
      <c r="C236" s="22" t="s">
        <v>49</v>
      </c>
      <c r="D236" s="22" t="s">
        <v>22</v>
      </c>
      <c r="E236" s="22" t="s">
        <v>18</v>
      </c>
      <c r="F236" s="24">
        <v>5</v>
      </c>
      <c r="G236" s="24">
        <v>2299</v>
      </c>
      <c r="H236" s="24">
        <v>1400</v>
      </c>
      <c r="I236" s="22" t="s">
        <v>41</v>
      </c>
      <c r="J236" s="22" t="s">
        <v>26</v>
      </c>
      <c r="K236" s="25">
        <f>Table1[[#This Row],[Quantity]]*Table1[[#This Row],[Unit Price]]</f>
        <v>11495</v>
      </c>
      <c r="L236" s="24">
        <f>Table1[[#This Row],[Revenue]]-Table1[[#This Row],[Cost Price]]*Table1[[#This Row],[Quantity]]</f>
        <v>4495</v>
      </c>
      <c r="M236" s="26">
        <f>IFERROR(Table1[[#This Row],[Profit]]/Table1[[#This Row],[Revenue]],"")</f>
        <v>0.39103958242714226</v>
      </c>
      <c r="N236" s="22"/>
      <c r="O236" s="42" t="s">
        <v>80</v>
      </c>
      <c r="P236" s="27" cm="1">
        <f t="array" ref="P236:AA236">_xlfn.XLOOKUP(O236,Table1[Order ID],Table1[[Order Date]:[Profit Margin]],0,0,1)</f>
        <v>45955</v>
      </c>
      <c r="Q236" s="22" t="str">
        <v>Running Shoes</v>
      </c>
      <c r="R236" s="22" t="str">
        <v>Fashion</v>
      </c>
      <c r="S236" s="22" t="str">
        <v>Central</v>
      </c>
      <c r="T236" s="22">
        <v>5</v>
      </c>
      <c r="U236" s="22">
        <v>2299</v>
      </c>
      <c r="V236" s="22">
        <v>1400</v>
      </c>
      <c r="W236" s="22" t="str">
        <v>Processing</v>
      </c>
      <c r="X236" s="22" t="str">
        <v>Credit Card</v>
      </c>
      <c r="Y236" s="22">
        <v>11495</v>
      </c>
      <c r="Z236" s="22">
        <v>4495</v>
      </c>
      <c r="AA236" s="43">
        <v>0.39103958242714226</v>
      </c>
      <c r="AB236" s="15"/>
    </row>
    <row r="237" spans="1:28" x14ac:dyDescent="0.3">
      <c r="A237" s="37" t="s">
        <v>299</v>
      </c>
      <c r="B237" s="38">
        <v>45956</v>
      </c>
      <c r="C237" s="37" t="s">
        <v>30</v>
      </c>
      <c r="D237" s="37" t="s">
        <v>31</v>
      </c>
      <c r="E237" s="37" t="s">
        <v>32</v>
      </c>
      <c r="F237" s="39">
        <v>1</v>
      </c>
      <c r="G237" s="39">
        <v>15899</v>
      </c>
      <c r="H237" s="39">
        <v>13500</v>
      </c>
      <c r="I237" s="37" t="s">
        <v>41</v>
      </c>
      <c r="J237" s="37" t="s">
        <v>52</v>
      </c>
      <c r="K237" s="40">
        <f>Table1[[#This Row],[Quantity]]*Table1[[#This Row],[Unit Price]]</f>
        <v>15899</v>
      </c>
      <c r="L237" s="39">
        <f>Table1[[#This Row],[Revenue]]-Table1[[#This Row],[Cost Price]]*Table1[[#This Row],[Quantity]]</f>
        <v>2399</v>
      </c>
      <c r="M237" s="41">
        <f>IFERROR(Table1[[#This Row],[Profit]]/Table1[[#This Row],[Revenue]],"")</f>
        <v>0.15088999308132586</v>
      </c>
      <c r="N237" s="22"/>
      <c r="O237" s="49" t="s">
        <v>299</v>
      </c>
      <c r="P237" s="50" cm="1">
        <f t="array" ref="P237:AA237">_xlfn.XLOOKUP(O237,Table1[Order ID],Table1[[Order Date]:[Profit Margin]],0,0,1)</f>
        <v>45956</v>
      </c>
      <c r="Q237" s="37" t="str">
        <v>Redmi Note 13</v>
      </c>
      <c r="R237" s="37" t="str">
        <v>Electronics</v>
      </c>
      <c r="S237" s="37" t="str">
        <v>North</v>
      </c>
      <c r="T237" s="37">
        <v>1</v>
      </c>
      <c r="U237" s="37">
        <v>15899</v>
      </c>
      <c r="V237" s="37">
        <v>13500</v>
      </c>
      <c r="W237" s="37" t="str">
        <v>Processing</v>
      </c>
      <c r="X237" s="37" t="str">
        <v>Cash</v>
      </c>
      <c r="Y237" s="37">
        <v>15899</v>
      </c>
      <c r="Z237" s="37">
        <v>2399</v>
      </c>
      <c r="AA237" s="51">
        <v>0.15088999308132586</v>
      </c>
      <c r="AB237" s="15"/>
    </row>
    <row r="238" spans="1:28" x14ac:dyDescent="0.3">
      <c r="A238" s="22" t="s">
        <v>48</v>
      </c>
      <c r="B238" s="23">
        <v>45957</v>
      </c>
      <c r="C238" s="22" t="s">
        <v>49</v>
      </c>
      <c r="D238" s="22" t="s">
        <v>22</v>
      </c>
      <c r="E238" s="22" t="s">
        <v>18</v>
      </c>
      <c r="F238" s="24">
        <v>7</v>
      </c>
      <c r="G238" s="24">
        <v>2699</v>
      </c>
      <c r="H238" s="24">
        <v>1400</v>
      </c>
      <c r="I238" s="22" t="s">
        <v>24</v>
      </c>
      <c r="J238" s="22" t="s">
        <v>47</v>
      </c>
      <c r="K238" s="25">
        <f>Table1[[#This Row],[Quantity]]*Table1[[#This Row],[Unit Price]]</f>
        <v>18893</v>
      </c>
      <c r="L238" s="24">
        <f>Table1[[#This Row],[Revenue]]-Table1[[#This Row],[Cost Price]]*Table1[[#This Row],[Quantity]]</f>
        <v>9093</v>
      </c>
      <c r="M238" s="26">
        <f>IFERROR(Table1[[#This Row],[Profit]]/Table1[[#This Row],[Revenue]],"")</f>
        <v>0.48128936643201187</v>
      </c>
      <c r="N238" s="22"/>
      <c r="O238" s="42" t="s">
        <v>48</v>
      </c>
      <c r="P238" s="27" cm="1">
        <f t="array" ref="P238:AA238">_xlfn.XLOOKUP(O238,Table1[Order ID],Table1[[Order Date]:[Profit Margin]],0,0,1)</f>
        <v>45957</v>
      </c>
      <c r="Q238" s="22" t="str">
        <v>Running Shoes</v>
      </c>
      <c r="R238" s="22" t="str">
        <v>Fashion</v>
      </c>
      <c r="S238" s="22" t="str">
        <v>Central</v>
      </c>
      <c r="T238" s="22">
        <v>7</v>
      </c>
      <c r="U238" s="22">
        <v>2699</v>
      </c>
      <c r="V238" s="22">
        <v>1400</v>
      </c>
      <c r="W238" s="22" t="str">
        <v>Cancelled</v>
      </c>
      <c r="X238" s="22" t="str">
        <v>Debit Card</v>
      </c>
      <c r="Y238" s="22">
        <v>18893</v>
      </c>
      <c r="Z238" s="22">
        <v>9093</v>
      </c>
      <c r="AA238" s="43">
        <v>0.48128936643201187</v>
      </c>
      <c r="AB238" s="15"/>
    </row>
    <row r="239" spans="1:28" x14ac:dyDescent="0.3">
      <c r="A239" s="37" t="s">
        <v>179</v>
      </c>
      <c r="B239" s="38">
        <v>45958</v>
      </c>
      <c r="C239" s="37" t="s">
        <v>51</v>
      </c>
      <c r="D239" s="37" t="s">
        <v>31</v>
      </c>
      <c r="E239" s="37" t="s">
        <v>18</v>
      </c>
      <c r="F239" s="39">
        <v>6</v>
      </c>
      <c r="G239" s="39">
        <v>2999</v>
      </c>
      <c r="H239" s="39">
        <v>1800</v>
      </c>
      <c r="I239" s="37" t="s">
        <v>14</v>
      </c>
      <c r="J239" s="37" t="s">
        <v>34</v>
      </c>
      <c r="K239" s="40">
        <f>Table1[[#This Row],[Quantity]]*Table1[[#This Row],[Unit Price]]</f>
        <v>17994</v>
      </c>
      <c r="L239" s="39">
        <f>Table1[[#This Row],[Revenue]]-Table1[[#This Row],[Cost Price]]*Table1[[#This Row],[Quantity]]</f>
        <v>7194</v>
      </c>
      <c r="M239" s="41">
        <f>IFERROR(Table1[[#This Row],[Profit]]/Table1[[#This Row],[Revenue]],"")</f>
        <v>0.39979993331110369</v>
      </c>
      <c r="N239" s="22"/>
      <c r="O239" s="49" t="s">
        <v>179</v>
      </c>
      <c r="P239" s="50" cm="1">
        <f t="array" ref="P239:AA239">_xlfn.XLOOKUP(O239,Table1[Order ID],Table1[[Order Date]:[Profit Margin]],0,0,1)</f>
        <v>45958</v>
      </c>
      <c r="Q239" s="37" t="str">
        <v>Bluetooth Speaker</v>
      </c>
      <c r="R239" s="37" t="str">
        <v>Electronics</v>
      </c>
      <c r="S239" s="37" t="str">
        <v>Central</v>
      </c>
      <c r="T239" s="37">
        <v>6</v>
      </c>
      <c r="U239" s="37">
        <v>2999</v>
      </c>
      <c r="V239" s="37">
        <v>1800</v>
      </c>
      <c r="W239" s="37" t="str">
        <v>Returned</v>
      </c>
      <c r="X239" s="37" t="str">
        <v>UPI</v>
      </c>
      <c r="Y239" s="37">
        <v>17994</v>
      </c>
      <c r="Z239" s="37">
        <v>7194</v>
      </c>
      <c r="AA239" s="51">
        <v>0.39979993331110369</v>
      </c>
      <c r="AB239" s="15"/>
    </row>
    <row r="240" spans="1:28" x14ac:dyDescent="0.3">
      <c r="A240" s="22" t="s">
        <v>99</v>
      </c>
      <c r="B240" s="23">
        <v>45962</v>
      </c>
      <c r="C240" s="22" t="s">
        <v>11</v>
      </c>
      <c r="D240" s="22" t="s">
        <v>12</v>
      </c>
      <c r="E240" s="22" t="s">
        <v>13</v>
      </c>
      <c r="F240" s="24">
        <v>9</v>
      </c>
      <c r="G240" s="24">
        <v>6999</v>
      </c>
      <c r="H240" s="24">
        <v>5000</v>
      </c>
      <c r="I240" s="22" t="s">
        <v>19</v>
      </c>
      <c r="J240" s="22" t="s">
        <v>26</v>
      </c>
      <c r="K240" s="25">
        <f>Table1[[#This Row],[Quantity]]*Table1[[#This Row],[Unit Price]]</f>
        <v>62991</v>
      </c>
      <c r="L240" s="24">
        <f>Table1[[#This Row],[Revenue]]-Table1[[#This Row],[Cost Price]]*Table1[[#This Row],[Quantity]]</f>
        <v>17991</v>
      </c>
      <c r="M240" s="26">
        <f>IFERROR(Table1[[#This Row],[Profit]]/Table1[[#This Row],[Revenue]],"")</f>
        <v>0.28561223031861693</v>
      </c>
      <c r="N240" s="22"/>
      <c r="O240" s="42" t="s">
        <v>99</v>
      </c>
      <c r="P240" s="27" cm="1">
        <f t="array" ref="P240:AA240">_xlfn.XLOOKUP(O240,Table1[Order ID],Table1[[Order Date]:[Profit Margin]],0,0,1)</f>
        <v>45962</v>
      </c>
      <c r="Q240" s="22" t="str">
        <v>Study Table</v>
      </c>
      <c r="R240" s="22" t="str">
        <v>Furniture</v>
      </c>
      <c r="S240" s="22" t="str">
        <v>South</v>
      </c>
      <c r="T240" s="22">
        <v>9</v>
      </c>
      <c r="U240" s="22">
        <v>6999</v>
      </c>
      <c r="V240" s="22">
        <v>5000</v>
      </c>
      <c r="W240" s="22" t="str">
        <v>Delivered</v>
      </c>
      <c r="X240" s="22" t="str">
        <v>Credit Card</v>
      </c>
      <c r="Y240" s="22">
        <v>62991</v>
      </c>
      <c r="Z240" s="22">
        <v>17991</v>
      </c>
      <c r="AA240" s="43">
        <v>0.28561223031861693</v>
      </c>
      <c r="AB240" s="15"/>
    </row>
    <row r="241" spans="1:28" x14ac:dyDescent="0.3">
      <c r="A241" s="37" t="s">
        <v>259</v>
      </c>
      <c r="B241" s="38">
        <v>45962</v>
      </c>
      <c r="C241" s="37" t="s">
        <v>11</v>
      </c>
      <c r="D241" s="37" t="s">
        <v>12</v>
      </c>
      <c r="E241" s="37" t="s">
        <v>18</v>
      </c>
      <c r="F241" s="39">
        <v>5</v>
      </c>
      <c r="G241" s="39">
        <v>6799</v>
      </c>
      <c r="H241" s="39">
        <v>5000</v>
      </c>
      <c r="I241" s="37" t="s">
        <v>19</v>
      </c>
      <c r="J241" s="37" t="s">
        <v>55</v>
      </c>
      <c r="K241" s="40">
        <f>Table1[[#This Row],[Quantity]]*Table1[[#This Row],[Unit Price]]</f>
        <v>33995</v>
      </c>
      <c r="L241" s="39">
        <f>Table1[[#This Row],[Revenue]]-Table1[[#This Row],[Cost Price]]*Table1[[#This Row],[Quantity]]</f>
        <v>8995</v>
      </c>
      <c r="M241" s="41">
        <f>IFERROR(Table1[[#This Row],[Profit]]/Table1[[#This Row],[Revenue]],"")</f>
        <v>0.26459773496102368</v>
      </c>
      <c r="N241" s="22"/>
      <c r="O241" s="49" t="s">
        <v>259</v>
      </c>
      <c r="P241" s="50" cm="1">
        <f t="array" ref="P241:AA241">_xlfn.XLOOKUP(O241,Table1[Order ID],Table1[[Order Date]:[Profit Margin]],0,0,1)</f>
        <v>45962</v>
      </c>
      <c r="Q241" s="37" t="str">
        <v>Study Table</v>
      </c>
      <c r="R241" s="37" t="str">
        <v>Furniture</v>
      </c>
      <c r="S241" s="37" t="str">
        <v>Central</v>
      </c>
      <c r="T241" s="37">
        <v>5</v>
      </c>
      <c r="U241" s="37">
        <v>6799</v>
      </c>
      <c r="V241" s="37">
        <v>5000</v>
      </c>
      <c r="W241" s="37" t="str">
        <v>Delivered</v>
      </c>
      <c r="X241" s="37" t="str">
        <v>Net Banking</v>
      </c>
      <c r="Y241" s="37">
        <v>33995</v>
      </c>
      <c r="Z241" s="37">
        <v>8995</v>
      </c>
      <c r="AA241" s="51">
        <v>0.26459773496102368</v>
      </c>
      <c r="AB241" s="15"/>
    </row>
    <row r="242" spans="1:28" x14ac:dyDescent="0.3">
      <c r="A242" s="22" t="s">
        <v>314</v>
      </c>
      <c r="B242" s="23">
        <v>45962</v>
      </c>
      <c r="C242" s="22" t="s">
        <v>46</v>
      </c>
      <c r="D242" s="22" t="s">
        <v>27</v>
      </c>
      <c r="E242" s="22" t="s">
        <v>28</v>
      </c>
      <c r="F242" s="24">
        <v>9</v>
      </c>
      <c r="G242" s="24">
        <v>99</v>
      </c>
      <c r="H242" s="24">
        <v>120</v>
      </c>
      <c r="I242" s="22" t="s">
        <v>24</v>
      </c>
      <c r="J242" s="22" t="s">
        <v>34</v>
      </c>
      <c r="K242" s="25">
        <f>Table1[[#This Row],[Quantity]]*Table1[[#This Row],[Unit Price]]</f>
        <v>891</v>
      </c>
      <c r="L242" s="24">
        <f>Table1[[#This Row],[Revenue]]-Table1[[#This Row],[Cost Price]]*Table1[[#This Row],[Quantity]]</f>
        <v>-189</v>
      </c>
      <c r="M242" s="26">
        <f>IFERROR(Table1[[#This Row],[Profit]]/Table1[[#This Row],[Revenue]],"")</f>
        <v>-0.21212121212121213</v>
      </c>
      <c r="N242" s="22"/>
      <c r="O242" s="42" t="s">
        <v>314</v>
      </c>
      <c r="P242" s="27" cm="1">
        <f t="array" ref="P242:AA242">_xlfn.XLOOKUP(O242,Table1[Order ID],Table1[[Order Date]:[Profit Margin]],0,0,1)</f>
        <v>45962</v>
      </c>
      <c r="Q242" s="22" t="str">
        <v>Notebook Pack</v>
      </c>
      <c r="R242" s="22" t="str">
        <v>Stationery</v>
      </c>
      <c r="S242" s="22" t="str">
        <v>East</v>
      </c>
      <c r="T242" s="22">
        <v>9</v>
      </c>
      <c r="U242" s="22">
        <v>99</v>
      </c>
      <c r="V242" s="22">
        <v>120</v>
      </c>
      <c r="W242" s="22" t="str">
        <v>Cancelled</v>
      </c>
      <c r="X242" s="22" t="str">
        <v>UPI</v>
      </c>
      <c r="Y242" s="22">
        <v>891</v>
      </c>
      <c r="Z242" s="22">
        <v>-189</v>
      </c>
      <c r="AA242" s="43">
        <v>-0.21212121212121213</v>
      </c>
      <c r="AB242" s="15"/>
    </row>
    <row r="243" spans="1:28" x14ac:dyDescent="0.3">
      <c r="A243" s="37" t="s">
        <v>150</v>
      </c>
      <c r="B243" s="38">
        <v>45964</v>
      </c>
      <c r="C243" s="37" t="s">
        <v>21</v>
      </c>
      <c r="D243" s="37" t="s">
        <v>22</v>
      </c>
      <c r="E243" s="37" t="s">
        <v>13</v>
      </c>
      <c r="F243" s="39">
        <v>8</v>
      </c>
      <c r="G243" s="39">
        <v>899</v>
      </c>
      <c r="H243" s="39">
        <v>350</v>
      </c>
      <c r="I243" s="37" t="s">
        <v>24</v>
      </c>
      <c r="J243" s="37" t="s">
        <v>26</v>
      </c>
      <c r="K243" s="40">
        <f>Table1[[#This Row],[Quantity]]*Table1[[#This Row],[Unit Price]]</f>
        <v>7192</v>
      </c>
      <c r="L243" s="39">
        <f>Table1[[#This Row],[Revenue]]-Table1[[#This Row],[Cost Price]]*Table1[[#This Row],[Quantity]]</f>
        <v>4392</v>
      </c>
      <c r="M243" s="41">
        <f>IFERROR(Table1[[#This Row],[Profit]]/Table1[[#This Row],[Revenue]],"")</f>
        <v>0.61067853170189101</v>
      </c>
      <c r="N243" s="22"/>
      <c r="O243" s="49" t="s">
        <v>150</v>
      </c>
      <c r="P243" s="50" cm="1">
        <f t="array" ref="P243:AA243">_xlfn.XLOOKUP(O243,Table1[Order ID],Table1[[Order Date]:[Profit Margin]],0,0,1)</f>
        <v>45964</v>
      </c>
      <c r="Q243" s="37" t="str">
        <v>Cotton T-Shirt</v>
      </c>
      <c r="R243" s="37" t="str">
        <v>Fashion</v>
      </c>
      <c r="S243" s="37" t="str">
        <v>South</v>
      </c>
      <c r="T243" s="37">
        <v>8</v>
      </c>
      <c r="U243" s="37">
        <v>899</v>
      </c>
      <c r="V243" s="37">
        <v>350</v>
      </c>
      <c r="W243" s="37" t="str">
        <v>Cancelled</v>
      </c>
      <c r="X243" s="37" t="str">
        <v>Credit Card</v>
      </c>
      <c r="Y243" s="37">
        <v>7192</v>
      </c>
      <c r="Z243" s="37">
        <v>4392</v>
      </c>
      <c r="AA243" s="51">
        <v>0.61067853170189101</v>
      </c>
      <c r="AB243" s="15"/>
    </row>
    <row r="244" spans="1:28" x14ac:dyDescent="0.3">
      <c r="A244" s="22" t="s">
        <v>320</v>
      </c>
      <c r="B244" s="23">
        <v>45965</v>
      </c>
      <c r="C244" s="22" t="s">
        <v>74</v>
      </c>
      <c r="D244" s="22" t="s">
        <v>31</v>
      </c>
      <c r="E244" s="22" t="s">
        <v>32</v>
      </c>
      <c r="F244" s="24">
        <v>4</v>
      </c>
      <c r="G244" s="24">
        <v>2099</v>
      </c>
      <c r="H244" s="24">
        <v>1200</v>
      </c>
      <c r="I244" s="22" t="s">
        <v>19</v>
      </c>
      <c r="J244" s="22" t="s">
        <v>34</v>
      </c>
      <c r="K244" s="25">
        <f>Table1[[#This Row],[Quantity]]*Table1[[#This Row],[Unit Price]]</f>
        <v>8396</v>
      </c>
      <c r="L244" s="24">
        <f>Table1[[#This Row],[Revenue]]-Table1[[#This Row],[Cost Price]]*Table1[[#This Row],[Quantity]]</f>
        <v>3596</v>
      </c>
      <c r="M244" s="26">
        <f>IFERROR(Table1[[#This Row],[Profit]]/Table1[[#This Row],[Revenue]],"")</f>
        <v>0.42829919009051931</v>
      </c>
      <c r="N244" s="22"/>
      <c r="O244" s="42" t="s">
        <v>320</v>
      </c>
      <c r="P244" s="27" cm="1">
        <f t="array" ref="P244:AA244">_xlfn.XLOOKUP(O244,Table1[Order ID],Table1[[Order Date]:[Profit Margin]],0,0,1)</f>
        <v>45965</v>
      </c>
      <c r="Q244" s="22" t="str">
        <v>Boat Headphones</v>
      </c>
      <c r="R244" s="22" t="str">
        <v>Electronics</v>
      </c>
      <c r="S244" s="22" t="str">
        <v>North</v>
      </c>
      <c r="T244" s="22">
        <v>4</v>
      </c>
      <c r="U244" s="22">
        <v>2099</v>
      </c>
      <c r="V244" s="22">
        <v>1200</v>
      </c>
      <c r="W244" s="22" t="str">
        <v>Delivered</v>
      </c>
      <c r="X244" s="22" t="str">
        <v>UPI</v>
      </c>
      <c r="Y244" s="22">
        <v>8396</v>
      </c>
      <c r="Z244" s="22">
        <v>3596</v>
      </c>
      <c r="AA244" s="43">
        <v>0.42829919009051931</v>
      </c>
      <c r="AB244" s="15"/>
    </row>
    <row r="245" spans="1:28" x14ac:dyDescent="0.3">
      <c r="A245" s="37" t="s">
        <v>144</v>
      </c>
      <c r="B245" s="38">
        <v>45966</v>
      </c>
      <c r="C245" s="37" t="s">
        <v>91</v>
      </c>
      <c r="D245" s="37" t="s">
        <v>38</v>
      </c>
      <c r="E245" s="37" t="s">
        <v>13</v>
      </c>
      <c r="F245" s="39">
        <v>9</v>
      </c>
      <c r="G245" s="39">
        <v>1099</v>
      </c>
      <c r="H245" s="39">
        <v>500</v>
      </c>
      <c r="I245" s="37" t="s">
        <v>24</v>
      </c>
      <c r="J245" s="37" t="s">
        <v>34</v>
      </c>
      <c r="K245" s="40">
        <f>Table1[[#This Row],[Quantity]]*Table1[[#This Row],[Unit Price]]</f>
        <v>9891</v>
      </c>
      <c r="L245" s="39">
        <f>Table1[[#This Row],[Revenue]]-Table1[[#This Row],[Cost Price]]*Table1[[#This Row],[Quantity]]</f>
        <v>5391</v>
      </c>
      <c r="M245" s="41">
        <f>IFERROR(Table1[[#This Row],[Profit]]/Table1[[#This Row],[Revenue]],"")</f>
        <v>0.54504094631483169</v>
      </c>
      <c r="N245" s="22"/>
      <c r="O245" s="49" t="s">
        <v>144</v>
      </c>
      <c r="P245" s="50" cm="1">
        <f t="array" ref="P245:AA245">_xlfn.XLOOKUP(O245,Table1[Order ID],Table1[[Order Date]:[Profit Margin]],0,0,1)</f>
        <v>45966</v>
      </c>
      <c r="Q245" s="37" t="str">
        <v>LED Desk Lamp</v>
      </c>
      <c r="R245" s="37" t="str">
        <v>Home Decor</v>
      </c>
      <c r="S245" s="37" t="str">
        <v>South</v>
      </c>
      <c r="T245" s="37">
        <v>9</v>
      </c>
      <c r="U245" s="37">
        <v>1099</v>
      </c>
      <c r="V245" s="37">
        <v>500</v>
      </c>
      <c r="W245" s="37" t="str">
        <v>Cancelled</v>
      </c>
      <c r="X245" s="37" t="str">
        <v>UPI</v>
      </c>
      <c r="Y245" s="37">
        <v>9891</v>
      </c>
      <c r="Z245" s="37">
        <v>5391</v>
      </c>
      <c r="AA245" s="51">
        <v>0.54504094631483169</v>
      </c>
      <c r="AB245" s="15"/>
    </row>
    <row r="246" spans="1:28" x14ac:dyDescent="0.3">
      <c r="A246" s="22" t="s">
        <v>155</v>
      </c>
      <c r="B246" s="23">
        <v>45967</v>
      </c>
      <c r="C246" s="22" t="s">
        <v>60</v>
      </c>
      <c r="D246" s="22" t="s">
        <v>31</v>
      </c>
      <c r="E246" s="22" t="s">
        <v>13</v>
      </c>
      <c r="F246" s="24">
        <v>1</v>
      </c>
      <c r="G246" s="24">
        <v>3499</v>
      </c>
      <c r="H246" s="24">
        <v>2400</v>
      </c>
      <c r="I246" s="22" t="s">
        <v>19</v>
      </c>
      <c r="J246" s="22" t="s">
        <v>52</v>
      </c>
      <c r="K246" s="25">
        <f>Table1[[#This Row],[Quantity]]*Table1[[#This Row],[Unit Price]]</f>
        <v>3499</v>
      </c>
      <c r="L246" s="24">
        <f>Table1[[#This Row],[Revenue]]-Table1[[#This Row],[Cost Price]]*Table1[[#This Row],[Quantity]]</f>
        <v>1099</v>
      </c>
      <c r="M246" s="26">
        <f>IFERROR(Table1[[#This Row],[Profit]]/Table1[[#This Row],[Revenue]],"")</f>
        <v>0.31408973992569306</v>
      </c>
      <c r="N246" s="22"/>
      <c r="O246" s="42" t="s">
        <v>155</v>
      </c>
      <c r="P246" s="27" cm="1">
        <f t="array" ref="P246:AA246">_xlfn.XLOOKUP(O246,Table1[Order ID],Table1[[Order Date]:[Profit Margin]],0,0,1)</f>
        <v>45967</v>
      </c>
      <c r="Q246" s="22" t="str">
        <v>Smart Watch</v>
      </c>
      <c r="R246" s="22" t="str">
        <v>Electronics</v>
      </c>
      <c r="S246" s="22" t="str">
        <v>South</v>
      </c>
      <c r="T246" s="22">
        <v>1</v>
      </c>
      <c r="U246" s="22">
        <v>3499</v>
      </c>
      <c r="V246" s="22">
        <v>2400</v>
      </c>
      <c r="W246" s="22" t="str">
        <v>Delivered</v>
      </c>
      <c r="X246" s="22" t="str">
        <v>Cash</v>
      </c>
      <c r="Y246" s="22">
        <v>3499</v>
      </c>
      <c r="Z246" s="22">
        <v>1099</v>
      </c>
      <c r="AA246" s="43">
        <v>0.31408973992569306</v>
      </c>
      <c r="AB246" s="15"/>
    </row>
    <row r="247" spans="1:28" x14ac:dyDescent="0.3">
      <c r="A247" s="37" t="s">
        <v>128</v>
      </c>
      <c r="B247" s="38">
        <v>45968</v>
      </c>
      <c r="C247" s="37" t="s">
        <v>54</v>
      </c>
      <c r="D247" s="37" t="s">
        <v>27</v>
      </c>
      <c r="E247" s="37" t="s">
        <v>13</v>
      </c>
      <c r="F247" s="39">
        <v>8</v>
      </c>
      <c r="G247" s="39">
        <v>499</v>
      </c>
      <c r="H247" s="39">
        <v>180</v>
      </c>
      <c r="I247" s="37" t="s">
        <v>24</v>
      </c>
      <c r="J247" s="37" t="s">
        <v>34</v>
      </c>
      <c r="K247" s="40">
        <f>Table1[[#This Row],[Quantity]]*Table1[[#This Row],[Unit Price]]</f>
        <v>3992</v>
      </c>
      <c r="L247" s="39">
        <f>Table1[[#This Row],[Revenue]]-Table1[[#This Row],[Cost Price]]*Table1[[#This Row],[Quantity]]</f>
        <v>2552</v>
      </c>
      <c r="M247" s="41">
        <f>IFERROR(Table1[[#This Row],[Profit]]/Table1[[#This Row],[Revenue]],"")</f>
        <v>0.63927855711422843</v>
      </c>
      <c r="N247" s="22"/>
      <c r="O247" s="49" t="s">
        <v>128</v>
      </c>
      <c r="P247" s="50" cm="1">
        <f t="array" ref="P247:AA247">_xlfn.XLOOKUP(O247,Table1[Order ID],Table1[[Order Date]:[Profit Margin]],0,0,1)</f>
        <v>45968</v>
      </c>
      <c r="Q247" s="37" t="str">
        <v>Printer Paper</v>
      </c>
      <c r="R247" s="37" t="str">
        <v>Stationery</v>
      </c>
      <c r="S247" s="37" t="str">
        <v>South</v>
      </c>
      <c r="T247" s="37">
        <v>8</v>
      </c>
      <c r="U247" s="37">
        <v>499</v>
      </c>
      <c r="V247" s="37">
        <v>180</v>
      </c>
      <c r="W247" s="37" t="str">
        <v>Cancelled</v>
      </c>
      <c r="X247" s="37" t="str">
        <v>UPI</v>
      </c>
      <c r="Y247" s="37">
        <v>3992</v>
      </c>
      <c r="Z247" s="37">
        <v>2552</v>
      </c>
      <c r="AA247" s="51">
        <v>0.63927855711422843</v>
      </c>
      <c r="AB247" s="15"/>
    </row>
    <row r="248" spans="1:28" x14ac:dyDescent="0.3">
      <c r="A248" s="22" t="s">
        <v>254</v>
      </c>
      <c r="B248" s="23">
        <v>45968</v>
      </c>
      <c r="C248" s="22" t="s">
        <v>21</v>
      </c>
      <c r="D248" s="22" t="s">
        <v>22</v>
      </c>
      <c r="E248" s="22" t="s">
        <v>32</v>
      </c>
      <c r="F248" s="24">
        <v>7</v>
      </c>
      <c r="G248" s="24">
        <v>599</v>
      </c>
      <c r="H248" s="24">
        <v>350</v>
      </c>
      <c r="I248" s="22" t="s">
        <v>19</v>
      </c>
      <c r="J248" s="22" t="s">
        <v>26</v>
      </c>
      <c r="K248" s="25">
        <f>Table1[[#This Row],[Quantity]]*Table1[[#This Row],[Unit Price]]</f>
        <v>4193</v>
      </c>
      <c r="L248" s="24">
        <f>Table1[[#This Row],[Revenue]]-Table1[[#This Row],[Cost Price]]*Table1[[#This Row],[Quantity]]</f>
        <v>1743</v>
      </c>
      <c r="M248" s="26">
        <f>IFERROR(Table1[[#This Row],[Profit]]/Table1[[#This Row],[Revenue]],"")</f>
        <v>0.41569282136894825</v>
      </c>
      <c r="N248" s="22"/>
      <c r="O248" s="42" t="s">
        <v>254</v>
      </c>
      <c r="P248" s="27" cm="1">
        <f t="array" ref="P248:AA248">_xlfn.XLOOKUP(O248,Table1[Order ID],Table1[[Order Date]:[Profit Margin]],0,0,1)</f>
        <v>45968</v>
      </c>
      <c r="Q248" s="22" t="str">
        <v>Cotton T-Shirt</v>
      </c>
      <c r="R248" s="22" t="str">
        <v>Fashion</v>
      </c>
      <c r="S248" s="22" t="str">
        <v>North</v>
      </c>
      <c r="T248" s="22">
        <v>7</v>
      </c>
      <c r="U248" s="22">
        <v>599</v>
      </c>
      <c r="V248" s="22">
        <v>350</v>
      </c>
      <c r="W248" s="22" t="str">
        <v>Delivered</v>
      </c>
      <c r="X248" s="22" t="str">
        <v>Credit Card</v>
      </c>
      <c r="Y248" s="22">
        <v>4193</v>
      </c>
      <c r="Z248" s="22">
        <v>1743</v>
      </c>
      <c r="AA248" s="43">
        <v>0.41569282136894825</v>
      </c>
      <c r="AB248" s="15"/>
    </row>
    <row r="249" spans="1:28" x14ac:dyDescent="0.3">
      <c r="A249" s="37" t="s">
        <v>114</v>
      </c>
      <c r="B249" s="38">
        <v>45969</v>
      </c>
      <c r="C249" s="37" t="s">
        <v>37</v>
      </c>
      <c r="D249" s="37" t="s">
        <v>38</v>
      </c>
      <c r="E249" s="37" t="s">
        <v>13</v>
      </c>
      <c r="F249" s="39">
        <v>2</v>
      </c>
      <c r="G249" s="39">
        <v>349</v>
      </c>
      <c r="H249" s="39">
        <v>90</v>
      </c>
      <c r="I249" s="37" t="s">
        <v>24</v>
      </c>
      <c r="J249" s="37" t="s">
        <v>34</v>
      </c>
      <c r="K249" s="40">
        <f>Table1[[#This Row],[Quantity]]*Table1[[#This Row],[Unit Price]]</f>
        <v>698</v>
      </c>
      <c r="L249" s="39">
        <f>Table1[[#This Row],[Revenue]]-Table1[[#This Row],[Cost Price]]*Table1[[#This Row],[Quantity]]</f>
        <v>518</v>
      </c>
      <c r="M249" s="41">
        <f>IFERROR(Table1[[#This Row],[Profit]]/Table1[[#This Row],[Revenue]],"")</f>
        <v>0.74212034383954151</v>
      </c>
      <c r="N249" s="22"/>
      <c r="O249" s="49" t="s">
        <v>114</v>
      </c>
      <c r="P249" s="50" cm="1">
        <f t="array" ref="P249:AA249">_xlfn.XLOOKUP(O249,Table1[Order ID],Table1[[Order Date]:[Profit Margin]],0,0,1)</f>
        <v>45969</v>
      </c>
      <c r="Q249" s="37" t="str">
        <v>Coffee Mug</v>
      </c>
      <c r="R249" s="37" t="str">
        <v>Home Decor</v>
      </c>
      <c r="S249" s="37" t="str">
        <v>South</v>
      </c>
      <c r="T249" s="37">
        <v>2</v>
      </c>
      <c r="U249" s="37">
        <v>349</v>
      </c>
      <c r="V249" s="37">
        <v>90</v>
      </c>
      <c r="W249" s="37" t="str">
        <v>Cancelled</v>
      </c>
      <c r="X249" s="37" t="str">
        <v>UPI</v>
      </c>
      <c r="Y249" s="37">
        <v>698</v>
      </c>
      <c r="Z249" s="37">
        <v>518</v>
      </c>
      <c r="AA249" s="51">
        <v>0.74212034383954151</v>
      </c>
      <c r="AB249" s="15"/>
    </row>
    <row r="250" spans="1:28" x14ac:dyDescent="0.3">
      <c r="A250" s="22" t="s">
        <v>113</v>
      </c>
      <c r="B250" s="23">
        <v>45970</v>
      </c>
      <c r="C250" s="22" t="s">
        <v>57</v>
      </c>
      <c r="D250" s="22" t="s">
        <v>17</v>
      </c>
      <c r="E250" s="22" t="s">
        <v>28</v>
      </c>
      <c r="F250" s="24">
        <v>10</v>
      </c>
      <c r="G250" s="24">
        <v>8799</v>
      </c>
      <c r="H250" s="24">
        <v>7000</v>
      </c>
      <c r="I250" s="22" t="s">
        <v>19</v>
      </c>
      <c r="J250" s="22" t="s">
        <v>26</v>
      </c>
      <c r="K250" s="25">
        <f>Table1[[#This Row],[Quantity]]*Table1[[#This Row],[Unit Price]]</f>
        <v>87990</v>
      </c>
      <c r="L250" s="24">
        <f>Table1[[#This Row],[Revenue]]-Table1[[#This Row],[Cost Price]]*Table1[[#This Row],[Quantity]]</f>
        <v>17990</v>
      </c>
      <c r="M250" s="26">
        <f>IFERROR(Table1[[#This Row],[Profit]]/Table1[[#This Row],[Revenue]],"")</f>
        <v>0.20445505171042164</v>
      </c>
      <c r="N250" s="22"/>
      <c r="O250" s="42" t="s">
        <v>113</v>
      </c>
      <c r="P250" s="27" cm="1">
        <f t="array" ref="P250:AA250">_xlfn.XLOOKUP(O250,Table1[Order ID],Table1[[Order Date]:[Profit Margin]],0,0,1)</f>
        <v>45970</v>
      </c>
      <c r="Q250" s="22" t="str">
        <v>Water Purifier</v>
      </c>
      <c r="R250" s="22" t="str">
        <v>Appliances</v>
      </c>
      <c r="S250" s="22" t="str">
        <v>East</v>
      </c>
      <c r="T250" s="22">
        <v>10</v>
      </c>
      <c r="U250" s="22">
        <v>8799</v>
      </c>
      <c r="V250" s="22">
        <v>7000</v>
      </c>
      <c r="W250" s="22" t="str">
        <v>Delivered</v>
      </c>
      <c r="X250" s="22" t="str">
        <v>Credit Card</v>
      </c>
      <c r="Y250" s="22">
        <v>87990</v>
      </c>
      <c r="Z250" s="22">
        <v>17990</v>
      </c>
      <c r="AA250" s="43">
        <v>0.20445505171042164</v>
      </c>
      <c r="AB250" s="15"/>
    </row>
    <row r="251" spans="1:28" x14ac:dyDescent="0.3">
      <c r="A251" s="37" t="s">
        <v>127</v>
      </c>
      <c r="B251" s="38">
        <v>45971</v>
      </c>
      <c r="C251" s="37" t="s">
        <v>74</v>
      </c>
      <c r="D251" s="37" t="s">
        <v>31</v>
      </c>
      <c r="E251" s="37" t="s">
        <v>32</v>
      </c>
      <c r="F251" s="39">
        <v>1</v>
      </c>
      <c r="G251" s="39">
        <v>1899</v>
      </c>
      <c r="H251" s="39">
        <v>1200</v>
      </c>
      <c r="I251" s="37" t="s">
        <v>19</v>
      </c>
      <c r="J251" s="37" t="s">
        <v>26</v>
      </c>
      <c r="K251" s="40">
        <f>Table1[[#This Row],[Quantity]]*Table1[[#This Row],[Unit Price]]</f>
        <v>1899</v>
      </c>
      <c r="L251" s="39">
        <f>Table1[[#This Row],[Revenue]]-Table1[[#This Row],[Cost Price]]*Table1[[#This Row],[Quantity]]</f>
        <v>699</v>
      </c>
      <c r="M251" s="41">
        <f>IFERROR(Table1[[#This Row],[Profit]]/Table1[[#This Row],[Revenue]],"")</f>
        <v>0.36808846761453395</v>
      </c>
      <c r="N251" s="22"/>
      <c r="O251" s="49" t="s">
        <v>127</v>
      </c>
      <c r="P251" s="50" cm="1">
        <f t="array" ref="P251:AA251">_xlfn.XLOOKUP(O251,Table1[Order ID],Table1[[Order Date]:[Profit Margin]],0,0,1)</f>
        <v>45971</v>
      </c>
      <c r="Q251" s="37" t="str">
        <v>Boat Headphones</v>
      </c>
      <c r="R251" s="37" t="str">
        <v>Electronics</v>
      </c>
      <c r="S251" s="37" t="str">
        <v>North</v>
      </c>
      <c r="T251" s="37">
        <v>1</v>
      </c>
      <c r="U251" s="37">
        <v>1899</v>
      </c>
      <c r="V251" s="37">
        <v>1200</v>
      </c>
      <c r="W251" s="37" t="str">
        <v>Delivered</v>
      </c>
      <c r="X251" s="37" t="str">
        <v>Credit Card</v>
      </c>
      <c r="Y251" s="37">
        <v>1899</v>
      </c>
      <c r="Z251" s="37">
        <v>699</v>
      </c>
      <c r="AA251" s="51">
        <v>0.36808846761453395</v>
      </c>
      <c r="AB251" s="15"/>
    </row>
    <row r="252" spans="1:28" x14ac:dyDescent="0.3">
      <c r="A252" s="22" t="s">
        <v>193</v>
      </c>
      <c r="B252" s="23">
        <v>45973</v>
      </c>
      <c r="C252" s="22" t="s">
        <v>30</v>
      </c>
      <c r="D252" s="22" t="s">
        <v>31</v>
      </c>
      <c r="E252" s="22" t="s">
        <v>13</v>
      </c>
      <c r="F252" s="24">
        <v>6</v>
      </c>
      <c r="G252" s="24">
        <v>16099</v>
      </c>
      <c r="H252" s="24">
        <v>13500</v>
      </c>
      <c r="I252" s="22" t="s">
        <v>19</v>
      </c>
      <c r="J252" s="22" t="s">
        <v>34</v>
      </c>
      <c r="K252" s="25">
        <f>Table1[[#This Row],[Quantity]]*Table1[[#This Row],[Unit Price]]</f>
        <v>96594</v>
      </c>
      <c r="L252" s="24">
        <f>Table1[[#This Row],[Revenue]]-Table1[[#This Row],[Cost Price]]*Table1[[#This Row],[Quantity]]</f>
        <v>15594</v>
      </c>
      <c r="M252" s="26">
        <f>IFERROR(Table1[[#This Row],[Profit]]/Table1[[#This Row],[Revenue]],"")</f>
        <v>0.16143859867072488</v>
      </c>
      <c r="N252" s="22"/>
      <c r="O252" s="42" t="s">
        <v>193</v>
      </c>
      <c r="P252" s="27" cm="1">
        <f t="array" ref="P252:AA252">_xlfn.XLOOKUP(O252,Table1[Order ID],Table1[[Order Date]:[Profit Margin]],0,0,1)</f>
        <v>45973</v>
      </c>
      <c r="Q252" s="22" t="str">
        <v>Redmi Note 13</v>
      </c>
      <c r="R252" s="22" t="str">
        <v>Electronics</v>
      </c>
      <c r="S252" s="22" t="str">
        <v>South</v>
      </c>
      <c r="T252" s="22">
        <v>6</v>
      </c>
      <c r="U252" s="22">
        <v>16099</v>
      </c>
      <c r="V252" s="22">
        <v>13500</v>
      </c>
      <c r="W252" s="22" t="str">
        <v>Delivered</v>
      </c>
      <c r="X252" s="22" t="str">
        <v>UPI</v>
      </c>
      <c r="Y252" s="22">
        <v>96594</v>
      </c>
      <c r="Z252" s="22">
        <v>15594</v>
      </c>
      <c r="AA252" s="43">
        <v>0.16143859867072488</v>
      </c>
      <c r="AB252" s="15"/>
    </row>
    <row r="253" spans="1:28" x14ac:dyDescent="0.3">
      <c r="A253" s="37" t="s">
        <v>197</v>
      </c>
      <c r="B253" s="38">
        <v>45976</v>
      </c>
      <c r="C253" s="37" t="s">
        <v>11</v>
      </c>
      <c r="D253" s="37" t="s">
        <v>12</v>
      </c>
      <c r="E253" s="37" t="s">
        <v>23</v>
      </c>
      <c r="F253" s="39">
        <v>3</v>
      </c>
      <c r="G253" s="39">
        <v>7199</v>
      </c>
      <c r="H253" s="39">
        <v>5000</v>
      </c>
      <c r="I253" s="37" t="s">
        <v>19</v>
      </c>
      <c r="J253" s="37" t="s">
        <v>26</v>
      </c>
      <c r="K253" s="40">
        <f>Table1[[#This Row],[Quantity]]*Table1[[#This Row],[Unit Price]]</f>
        <v>21597</v>
      </c>
      <c r="L253" s="39">
        <f>Table1[[#This Row],[Revenue]]-Table1[[#This Row],[Cost Price]]*Table1[[#This Row],[Quantity]]</f>
        <v>6597</v>
      </c>
      <c r="M253" s="41">
        <f>IFERROR(Table1[[#This Row],[Profit]]/Table1[[#This Row],[Revenue]],"")</f>
        <v>0.30545909154049172</v>
      </c>
      <c r="N253" s="22"/>
      <c r="O253" s="49" t="s">
        <v>197</v>
      </c>
      <c r="P253" s="50" cm="1">
        <f t="array" ref="P253:AA253">_xlfn.XLOOKUP(O253,Table1[Order ID],Table1[[Order Date]:[Profit Margin]],0,0,1)</f>
        <v>45976</v>
      </c>
      <c r="Q253" s="37" t="str">
        <v>Study Table</v>
      </c>
      <c r="R253" s="37" t="str">
        <v>Furniture</v>
      </c>
      <c r="S253" s="37" t="str">
        <v>West</v>
      </c>
      <c r="T253" s="37">
        <v>3</v>
      </c>
      <c r="U253" s="37">
        <v>7199</v>
      </c>
      <c r="V253" s="37">
        <v>5000</v>
      </c>
      <c r="W253" s="37" t="str">
        <v>Delivered</v>
      </c>
      <c r="X253" s="37" t="str">
        <v>Credit Card</v>
      </c>
      <c r="Y253" s="37">
        <v>21597</v>
      </c>
      <c r="Z253" s="37">
        <v>6597</v>
      </c>
      <c r="AA253" s="51">
        <v>0.30545909154049172</v>
      </c>
      <c r="AB253" s="15"/>
    </row>
    <row r="254" spans="1:28" x14ac:dyDescent="0.3">
      <c r="A254" s="22" t="s">
        <v>77</v>
      </c>
      <c r="B254" s="23">
        <v>45981</v>
      </c>
      <c r="C254" s="22" t="s">
        <v>44</v>
      </c>
      <c r="D254" s="22" t="s">
        <v>31</v>
      </c>
      <c r="E254" s="22" t="s">
        <v>13</v>
      </c>
      <c r="F254" s="24">
        <v>5</v>
      </c>
      <c r="G254" s="24">
        <v>13199</v>
      </c>
      <c r="H254" s="24">
        <v>10800</v>
      </c>
      <c r="I254" s="22" t="s">
        <v>19</v>
      </c>
      <c r="J254" s="22" t="s">
        <v>47</v>
      </c>
      <c r="K254" s="25">
        <f>Table1[[#This Row],[Quantity]]*Table1[[#This Row],[Unit Price]]</f>
        <v>65995</v>
      </c>
      <c r="L254" s="24">
        <f>Table1[[#This Row],[Revenue]]-Table1[[#This Row],[Cost Price]]*Table1[[#This Row],[Quantity]]</f>
        <v>11995</v>
      </c>
      <c r="M254" s="26">
        <f>IFERROR(Table1[[#This Row],[Profit]]/Table1[[#This Row],[Revenue]],"")</f>
        <v>0.18175619365103418</v>
      </c>
      <c r="N254" s="22"/>
      <c r="O254" s="42" t="s">
        <v>77</v>
      </c>
      <c r="P254" s="27" cm="1">
        <f t="array" ref="P254:AA254">_xlfn.XLOOKUP(O254,Table1[Order ID],Table1[[Order Date]:[Profit Margin]],0,0,1)</f>
        <v>45981</v>
      </c>
      <c r="Q254" s="22" t="str">
        <v>Samsung Galaxy M14</v>
      </c>
      <c r="R254" s="22" t="str">
        <v>Electronics</v>
      </c>
      <c r="S254" s="22" t="str">
        <v>South</v>
      </c>
      <c r="T254" s="22">
        <v>5</v>
      </c>
      <c r="U254" s="22">
        <v>13199</v>
      </c>
      <c r="V254" s="22">
        <v>10800</v>
      </c>
      <c r="W254" s="22" t="str">
        <v>Delivered</v>
      </c>
      <c r="X254" s="22" t="str">
        <v>Debit Card</v>
      </c>
      <c r="Y254" s="22">
        <v>65995</v>
      </c>
      <c r="Z254" s="22">
        <v>11995</v>
      </c>
      <c r="AA254" s="43">
        <v>0.18175619365103418</v>
      </c>
      <c r="AB254" s="15"/>
    </row>
    <row r="255" spans="1:28" x14ac:dyDescent="0.3">
      <c r="A255" s="37" t="s">
        <v>100</v>
      </c>
      <c r="B255" s="38">
        <v>45981</v>
      </c>
      <c r="C255" s="37" t="s">
        <v>37</v>
      </c>
      <c r="D255" s="37" t="s">
        <v>38</v>
      </c>
      <c r="E255" s="37" t="s">
        <v>23</v>
      </c>
      <c r="F255" s="39">
        <v>7</v>
      </c>
      <c r="G255" s="39">
        <v>349</v>
      </c>
      <c r="H255" s="39">
        <v>90</v>
      </c>
      <c r="I255" s="37" t="s">
        <v>41</v>
      </c>
      <c r="J255" s="37" t="s">
        <v>47</v>
      </c>
      <c r="K255" s="40">
        <f>Table1[[#This Row],[Quantity]]*Table1[[#This Row],[Unit Price]]</f>
        <v>2443</v>
      </c>
      <c r="L255" s="39">
        <f>Table1[[#This Row],[Revenue]]-Table1[[#This Row],[Cost Price]]*Table1[[#This Row],[Quantity]]</f>
        <v>1813</v>
      </c>
      <c r="M255" s="41">
        <f>IFERROR(Table1[[#This Row],[Profit]]/Table1[[#This Row],[Revenue]],"")</f>
        <v>0.74212034383954151</v>
      </c>
      <c r="N255" s="22"/>
      <c r="O255" s="49" t="s">
        <v>100</v>
      </c>
      <c r="P255" s="50" cm="1">
        <f t="array" ref="P255:AA255">_xlfn.XLOOKUP(O255,Table1[Order ID],Table1[[Order Date]:[Profit Margin]],0,0,1)</f>
        <v>45981</v>
      </c>
      <c r="Q255" s="37" t="str">
        <v>Coffee Mug</v>
      </c>
      <c r="R255" s="37" t="str">
        <v>Home Decor</v>
      </c>
      <c r="S255" s="37" t="str">
        <v>West</v>
      </c>
      <c r="T255" s="37">
        <v>7</v>
      </c>
      <c r="U255" s="37">
        <v>349</v>
      </c>
      <c r="V255" s="37">
        <v>90</v>
      </c>
      <c r="W255" s="37" t="str">
        <v>Processing</v>
      </c>
      <c r="X255" s="37" t="str">
        <v>Debit Card</v>
      </c>
      <c r="Y255" s="37">
        <v>2443</v>
      </c>
      <c r="Z255" s="37">
        <v>1813</v>
      </c>
      <c r="AA255" s="51">
        <v>0.74212034383954151</v>
      </c>
      <c r="AB255" s="15"/>
    </row>
    <row r="256" spans="1:28" x14ac:dyDescent="0.3">
      <c r="A256" s="22" t="s">
        <v>269</v>
      </c>
      <c r="B256" s="23">
        <v>45984</v>
      </c>
      <c r="C256" s="22" t="s">
        <v>11</v>
      </c>
      <c r="D256" s="22" t="s">
        <v>12</v>
      </c>
      <c r="E256" s="22" t="s">
        <v>13</v>
      </c>
      <c r="F256" s="24">
        <v>3</v>
      </c>
      <c r="G256" s="24">
        <v>7099</v>
      </c>
      <c r="H256" s="24">
        <v>5000</v>
      </c>
      <c r="I256" s="22" t="s">
        <v>14</v>
      </c>
      <c r="J256" s="22" t="s">
        <v>26</v>
      </c>
      <c r="K256" s="25">
        <f>Table1[[#This Row],[Quantity]]*Table1[[#This Row],[Unit Price]]</f>
        <v>21297</v>
      </c>
      <c r="L256" s="24">
        <f>Table1[[#This Row],[Revenue]]-Table1[[#This Row],[Cost Price]]*Table1[[#This Row],[Quantity]]</f>
        <v>6297</v>
      </c>
      <c r="M256" s="26">
        <f>IFERROR(Table1[[#This Row],[Profit]]/Table1[[#This Row],[Revenue]],"")</f>
        <v>0.29567544724609102</v>
      </c>
      <c r="N256" s="22"/>
      <c r="O256" s="42" t="s">
        <v>269</v>
      </c>
      <c r="P256" s="27" cm="1">
        <f t="array" ref="P256:AA256">_xlfn.XLOOKUP(O256,Table1[Order ID],Table1[[Order Date]:[Profit Margin]],0,0,1)</f>
        <v>45984</v>
      </c>
      <c r="Q256" s="22" t="str">
        <v>Study Table</v>
      </c>
      <c r="R256" s="22" t="str">
        <v>Furniture</v>
      </c>
      <c r="S256" s="22" t="str">
        <v>South</v>
      </c>
      <c r="T256" s="22">
        <v>3</v>
      </c>
      <c r="U256" s="22">
        <v>7099</v>
      </c>
      <c r="V256" s="22">
        <v>5000</v>
      </c>
      <c r="W256" s="22" t="str">
        <v>Returned</v>
      </c>
      <c r="X256" s="22" t="str">
        <v>Credit Card</v>
      </c>
      <c r="Y256" s="22">
        <v>21297</v>
      </c>
      <c r="Z256" s="22">
        <v>6297</v>
      </c>
      <c r="AA256" s="43">
        <v>0.29567544724609102</v>
      </c>
      <c r="AB256" s="15"/>
    </row>
    <row r="257" spans="1:28" x14ac:dyDescent="0.3">
      <c r="A257" s="37" t="s">
        <v>205</v>
      </c>
      <c r="B257" s="38">
        <v>45985</v>
      </c>
      <c r="C257" s="37" t="s">
        <v>37</v>
      </c>
      <c r="D257" s="37" t="s">
        <v>38</v>
      </c>
      <c r="E257" s="37" t="s">
        <v>18</v>
      </c>
      <c r="F257" s="39">
        <v>5</v>
      </c>
      <c r="G257" s="39">
        <v>49</v>
      </c>
      <c r="H257" s="39">
        <v>90</v>
      </c>
      <c r="I257" s="37" t="s">
        <v>19</v>
      </c>
      <c r="J257" s="37" t="s">
        <v>34</v>
      </c>
      <c r="K257" s="40">
        <f>Table1[[#This Row],[Quantity]]*Table1[[#This Row],[Unit Price]]</f>
        <v>245</v>
      </c>
      <c r="L257" s="39">
        <f>Table1[[#This Row],[Revenue]]-Table1[[#This Row],[Cost Price]]*Table1[[#This Row],[Quantity]]</f>
        <v>-205</v>
      </c>
      <c r="M257" s="41">
        <f>IFERROR(Table1[[#This Row],[Profit]]/Table1[[#This Row],[Revenue]],"")</f>
        <v>-0.83673469387755106</v>
      </c>
      <c r="N257" s="22"/>
      <c r="O257" s="49" t="s">
        <v>205</v>
      </c>
      <c r="P257" s="50" cm="1">
        <f t="array" ref="P257:AA257">_xlfn.XLOOKUP(O257,Table1[Order ID],Table1[[Order Date]:[Profit Margin]],0,0,1)</f>
        <v>45985</v>
      </c>
      <c r="Q257" s="37" t="str">
        <v>Coffee Mug</v>
      </c>
      <c r="R257" s="37" t="str">
        <v>Home Decor</v>
      </c>
      <c r="S257" s="37" t="str">
        <v>Central</v>
      </c>
      <c r="T257" s="37">
        <v>5</v>
      </c>
      <c r="U257" s="37">
        <v>49</v>
      </c>
      <c r="V257" s="37">
        <v>90</v>
      </c>
      <c r="W257" s="37" t="str">
        <v>Delivered</v>
      </c>
      <c r="X257" s="37" t="str">
        <v>UPI</v>
      </c>
      <c r="Y257" s="37">
        <v>245</v>
      </c>
      <c r="Z257" s="37">
        <v>-205</v>
      </c>
      <c r="AA257" s="51">
        <v>-0.83673469387755106</v>
      </c>
      <c r="AB257" s="15"/>
    </row>
    <row r="258" spans="1:28" x14ac:dyDescent="0.3">
      <c r="A258" s="22" t="s">
        <v>43</v>
      </c>
      <c r="B258" s="23">
        <v>45986</v>
      </c>
      <c r="C258" s="22" t="s">
        <v>37</v>
      </c>
      <c r="D258" s="22" t="s">
        <v>38</v>
      </c>
      <c r="E258" s="22" t="s">
        <v>13</v>
      </c>
      <c r="F258" s="24">
        <v>7</v>
      </c>
      <c r="G258" s="24">
        <v>449</v>
      </c>
      <c r="H258" s="24">
        <v>90</v>
      </c>
      <c r="I258" s="22" t="s">
        <v>19</v>
      </c>
      <c r="J258" s="22" t="s">
        <v>26</v>
      </c>
      <c r="K258" s="25">
        <f>Table1[[#This Row],[Quantity]]*Table1[[#This Row],[Unit Price]]</f>
        <v>3143</v>
      </c>
      <c r="L258" s="24">
        <f>Table1[[#This Row],[Revenue]]-Table1[[#This Row],[Cost Price]]*Table1[[#This Row],[Quantity]]</f>
        <v>2513</v>
      </c>
      <c r="M258" s="26">
        <f>IFERROR(Table1[[#This Row],[Profit]]/Table1[[#This Row],[Revenue]],"")</f>
        <v>0.79955456570155903</v>
      </c>
      <c r="N258" s="22"/>
      <c r="O258" s="42" t="s">
        <v>43</v>
      </c>
      <c r="P258" s="27" cm="1">
        <f t="array" ref="P258:AA258">_xlfn.XLOOKUP(O258,Table1[Order ID],Table1[[Order Date]:[Profit Margin]],0,0,1)</f>
        <v>45986</v>
      </c>
      <c r="Q258" s="22" t="str">
        <v>Coffee Mug</v>
      </c>
      <c r="R258" s="22" t="str">
        <v>Home Decor</v>
      </c>
      <c r="S258" s="22" t="str">
        <v>South</v>
      </c>
      <c r="T258" s="22">
        <v>7</v>
      </c>
      <c r="U258" s="22">
        <v>449</v>
      </c>
      <c r="V258" s="22">
        <v>90</v>
      </c>
      <c r="W258" s="22" t="str">
        <v>Delivered</v>
      </c>
      <c r="X258" s="22" t="str">
        <v>Credit Card</v>
      </c>
      <c r="Y258" s="22">
        <v>3143</v>
      </c>
      <c r="Z258" s="22">
        <v>2513</v>
      </c>
      <c r="AA258" s="43">
        <v>0.79955456570155903</v>
      </c>
      <c r="AB258" s="15"/>
    </row>
    <row r="259" spans="1:28" x14ac:dyDescent="0.3">
      <c r="A259" s="37" t="s">
        <v>191</v>
      </c>
      <c r="B259" s="38">
        <v>45986</v>
      </c>
      <c r="C259" s="37" t="s">
        <v>60</v>
      </c>
      <c r="D259" s="37" t="s">
        <v>31</v>
      </c>
      <c r="E259" s="37" t="s">
        <v>13</v>
      </c>
      <c r="F259" s="39">
        <v>1</v>
      </c>
      <c r="G259" s="39">
        <v>3399</v>
      </c>
      <c r="H259" s="39">
        <v>2400</v>
      </c>
      <c r="I259" s="37" t="s">
        <v>24</v>
      </c>
      <c r="J259" s="37" t="s">
        <v>34</v>
      </c>
      <c r="K259" s="40">
        <f>Table1[[#This Row],[Quantity]]*Table1[[#This Row],[Unit Price]]</f>
        <v>3399</v>
      </c>
      <c r="L259" s="39">
        <f>Table1[[#This Row],[Revenue]]-Table1[[#This Row],[Cost Price]]*Table1[[#This Row],[Quantity]]</f>
        <v>999</v>
      </c>
      <c r="M259" s="41">
        <f>IFERROR(Table1[[#This Row],[Profit]]/Table1[[#This Row],[Revenue]],"")</f>
        <v>0.29390997352162401</v>
      </c>
      <c r="N259" s="22"/>
      <c r="O259" s="49" t="s">
        <v>191</v>
      </c>
      <c r="P259" s="50" cm="1">
        <f t="array" ref="P259:AA259">_xlfn.XLOOKUP(O259,Table1[Order ID],Table1[[Order Date]:[Profit Margin]],0,0,1)</f>
        <v>45986</v>
      </c>
      <c r="Q259" s="37" t="str">
        <v>Smart Watch</v>
      </c>
      <c r="R259" s="37" t="str">
        <v>Electronics</v>
      </c>
      <c r="S259" s="37" t="str">
        <v>South</v>
      </c>
      <c r="T259" s="37">
        <v>1</v>
      </c>
      <c r="U259" s="37">
        <v>3399</v>
      </c>
      <c r="V259" s="37">
        <v>2400</v>
      </c>
      <c r="W259" s="37" t="str">
        <v>Cancelled</v>
      </c>
      <c r="X259" s="37" t="str">
        <v>UPI</v>
      </c>
      <c r="Y259" s="37">
        <v>3399</v>
      </c>
      <c r="Z259" s="37">
        <v>999</v>
      </c>
      <c r="AA259" s="51">
        <v>0.29390997352162401</v>
      </c>
      <c r="AB259" s="15"/>
    </row>
    <row r="260" spans="1:28" x14ac:dyDescent="0.3">
      <c r="A260" s="22" t="s">
        <v>290</v>
      </c>
      <c r="B260" s="23">
        <v>45988</v>
      </c>
      <c r="C260" s="22" t="s">
        <v>74</v>
      </c>
      <c r="D260" s="22" t="s">
        <v>31</v>
      </c>
      <c r="E260" s="22" t="s">
        <v>13</v>
      </c>
      <c r="F260" s="24">
        <v>9</v>
      </c>
      <c r="G260" s="24">
        <v>2199</v>
      </c>
      <c r="H260" s="24">
        <v>1200</v>
      </c>
      <c r="I260" s="22" t="s">
        <v>41</v>
      </c>
      <c r="J260" s="22" t="s">
        <v>26</v>
      </c>
      <c r="K260" s="25">
        <f>Table1[[#This Row],[Quantity]]*Table1[[#This Row],[Unit Price]]</f>
        <v>19791</v>
      </c>
      <c r="L260" s="24">
        <f>Table1[[#This Row],[Revenue]]-Table1[[#This Row],[Cost Price]]*Table1[[#This Row],[Quantity]]</f>
        <v>8991</v>
      </c>
      <c r="M260" s="26">
        <f>IFERROR(Table1[[#This Row],[Profit]]/Table1[[#This Row],[Revenue]],"")</f>
        <v>0.45429740791268758</v>
      </c>
      <c r="N260" s="22"/>
      <c r="O260" s="42" t="s">
        <v>290</v>
      </c>
      <c r="P260" s="27" cm="1">
        <f t="array" ref="P260:AA260">_xlfn.XLOOKUP(O260,Table1[Order ID],Table1[[Order Date]:[Profit Margin]],0,0,1)</f>
        <v>45988</v>
      </c>
      <c r="Q260" s="22" t="str">
        <v>Boat Headphones</v>
      </c>
      <c r="R260" s="22" t="str">
        <v>Electronics</v>
      </c>
      <c r="S260" s="22" t="str">
        <v>South</v>
      </c>
      <c r="T260" s="22">
        <v>9</v>
      </c>
      <c r="U260" s="22">
        <v>2199</v>
      </c>
      <c r="V260" s="22">
        <v>1200</v>
      </c>
      <c r="W260" s="22" t="str">
        <v>Processing</v>
      </c>
      <c r="X260" s="22" t="str">
        <v>Credit Card</v>
      </c>
      <c r="Y260" s="22">
        <v>19791</v>
      </c>
      <c r="Z260" s="22">
        <v>8991</v>
      </c>
      <c r="AA260" s="43">
        <v>0.45429740791268758</v>
      </c>
      <c r="AB260" s="15"/>
    </row>
    <row r="261" spans="1:28" x14ac:dyDescent="0.3">
      <c r="A261" s="37" t="s">
        <v>275</v>
      </c>
      <c r="B261" s="38">
        <v>45989</v>
      </c>
      <c r="C261" s="37" t="s">
        <v>91</v>
      </c>
      <c r="D261" s="37" t="s">
        <v>38</v>
      </c>
      <c r="E261" s="37" t="s">
        <v>18</v>
      </c>
      <c r="F261" s="39">
        <v>7</v>
      </c>
      <c r="G261" s="39">
        <v>699</v>
      </c>
      <c r="H261" s="39">
        <v>500</v>
      </c>
      <c r="I261" s="37" t="s">
        <v>24</v>
      </c>
      <c r="J261" s="37" t="s">
        <v>34</v>
      </c>
      <c r="K261" s="40">
        <f>Table1[[#This Row],[Quantity]]*Table1[[#This Row],[Unit Price]]</f>
        <v>4893</v>
      </c>
      <c r="L261" s="39">
        <f>Table1[[#This Row],[Revenue]]-Table1[[#This Row],[Cost Price]]*Table1[[#This Row],[Quantity]]</f>
        <v>1393</v>
      </c>
      <c r="M261" s="41">
        <f>IFERROR(Table1[[#This Row],[Profit]]/Table1[[#This Row],[Revenue]],"")</f>
        <v>0.28469241773962806</v>
      </c>
      <c r="N261" s="22"/>
      <c r="O261" s="49" t="s">
        <v>275</v>
      </c>
      <c r="P261" s="50" cm="1">
        <f t="array" ref="P261:AA261">_xlfn.XLOOKUP(O261,Table1[Order ID],Table1[[Order Date]:[Profit Margin]],0,0,1)</f>
        <v>45989</v>
      </c>
      <c r="Q261" s="37" t="str">
        <v>LED Desk Lamp</v>
      </c>
      <c r="R261" s="37" t="str">
        <v>Home Decor</v>
      </c>
      <c r="S261" s="37" t="str">
        <v>Central</v>
      </c>
      <c r="T261" s="37">
        <v>7</v>
      </c>
      <c r="U261" s="37">
        <v>699</v>
      </c>
      <c r="V261" s="37">
        <v>500</v>
      </c>
      <c r="W261" s="37" t="str">
        <v>Cancelled</v>
      </c>
      <c r="X261" s="37" t="str">
        <v>UPI</v>
      </c>
      <c r="Y261" s="37">
        <v>4893</v>
      </c>
      <c r="Z261" s="37">
        <v>1393</v>
      </c>
      <c r="AA261" s="51">
        <v>0.28469241773962806</v>
      </c>
      <c r="AB261" s="15"/>
    </row>
    <row r="262" spans="1:28" x14ac:dyDescent="0.3">
      <c r="A262" s="22" t="s">
        <v>302</v>
      </c>
      <c r="B262" s="23">
        <v>45990</v>
      </c>
      <c r="C262" s="22" t="s">
        <v>37</v>
      </c>
      <c r="D262" s="22" t="s">
        <v>38</v>
      </c>
      <c r="E262" s="22" t="s">
        <v>13</v>
      </c>
      <c r="F262" s="24">
        <v>4</v>
      </c>
      <c r="G262" s="24">
        <v>149</v>
      </c>
      <c r="H262" s="24">
        <v>90</v>
      </c>
      <c r="I262" s="22" t="s">
        <v>33</v>
      </c>
      <c r="J262" s="22" t="s">
        <v>34</v>
      </c>
      <c r="K262" s="25">
        <f>Table1[[#This Row],[Quantity]]*Table1[[#This Row],[Unit Price]]</f>
        <v>596</v>
      </c>
      <c r="L262" s="24">
        <f>Table1[[#This Row],[Revenue]]-Table1[[#This Row],[Cost Price]]*Table1[[#This Row],[Quantity]]</f>
        <v>236</v>
      </c>
      <c r="M262" s="26">
        <f>IFERROR(Table1[[#This Row],[Profit]]/Table1[[#This Row],[Revenue]],"")</f>
        <v>0.39597315436241609</v>
      </c>
      <c r="N262" s="22"/>
      <c r="O262" s="42" t="s">
        <v>302</v>
      </c>
      <c r="P262" s="27" cm="1">
        <f t="array" ref="P262:AA262">_xlfn.XLOOKUP(O262,Table1[Order ID],Table1[[Order Date]:[Profit Margin]],0,0,1)</f>
        <v>45990</v>
      </c>
      <c r="Q262" s="22" t="str">
        <v>Coffee Mug</v>
      </c>
      <c r="R262" s="22" t="str">
        <v>Home Decor</v>
      </c>
      <c r="S262" s="22" t="str">
        <v>South</v>
      </c>
      <c r="T262" s="22">
        <v>4</v>
      </c>
      <c r="U262" s="22">
        <v>149</v>
      </c>
      <c r="V262" s="22">
        <v>90</v>
      </c>
      <c r="W262" s="22" t="str">
        <v>Shipped</v>
      </c>
      <c r="X262" s="22" t="str">
        <v>UPI</v>
      </c>
      <c r="Y262" s="22">
        <v>596</v>
      </c>
      <c r="Z262" s="22">
        <v>236</v>
      </c>
      <c r="AA262" s="43">
        <v>0.39597315436241609</v>
      </c>
      <c r="AB262" s="15"/>
    </row>
    <row r="263" spans="1:28" x14ac:dyDescent="0.3">
      <c r="A263" s="37" t="s">
        <v>321</v>
      </c>
      <c r="B263" s="38">
        <v>45992</v>
      </c>
      <c r="C263" s="37" t="s">
        <v>44</v>
      </c>
      <c r="D263" s="37" t="s">
        <v>31</v>
      </c>
      <c r="E263" s="37" t="s">
        <v>18</v>
      </c>
      <c r="F263" s="39">
        <v>7</v>
      </c>
      <c r="G263" s="39">
        <v>12799</v>
      </c>
      <c r="H263" s="39">
        <v>10800</v>
      </c>
      <c r="I263" s="37" t="s">
        <v>14</v>
      </c>
      <c r="J263" s="37" t="s">
        <v>34</v>
      </c>
      <c r="K263" s="40">
        <f>Table1[[#This Row],[Quantity]]*Table1[[#This Row],[Unit Price]]</f>
        <v>89593</v>
      </c>
      <c r="L263" s="39">
        <f>Table1[[#This Row],[Revenue]]-Table1[[#This Row],[Cost Price]]*Table1[[#This Row],[Quantity]]</f>
        <v>13993</v>
      </c>
      <c r="M263" s="41">
        <f>IFERROR(Table1[[#This Row],[Profit]]/Table1[[#This Row],[Revenue]],"")</f>
        <v>0.15618407688100633</v>
      </c>
      <c r="N263" s="22"/>
      <c r="O263" s="49" t="s">
        <v>321</v>
      </c>
      <c r="P263" s="50" cm="1">
        <f t="array" ref="P263:AA263">_xlfn.XLOOKUP(O263,Table1[Order ID],Table1[[Order Date]:[Profit Margin]],0,0,1)</f>
        <v>45992</v>
      </c>
      <c r="Q263" s="37" t="str">
        <v>Samsung Galaxy M14</v>
      </c>
      <c r="R263" s="37" t="str">
        <v>Electronics</v>
      </c>
      <c r="S263" s="37" t="str">
        <v>Central</v>
      </c>
      <c r="T263" s="37">
        <v>7</v>
      </c>
      <c r="U263" s="37">
        <v>12799</v>
      </c>
      <c r="V263" s="37">
        <v>10800</v>
      </c>
      <c r="W263" s="37" t="str">
        <v>Returned</v>
      </c>
      <c r="X263" s="37" t="str">
        <v>UPI</v>
      </c>
      <c r="Y263" s="37">
        <v>89593</v>
      </c>
      <c r="Z263" s="37">
        <v>13993</v>
      </c>
      <c r="AA263" s="51">
        <v>0.15618407688100633</v>
      </c>
      <c r="AB263" s="15"/>
    </row>
    <row r="264" spans="1:28" x14ac:dyDescent="0.3">
      <c r="A264" s="22" t="s">
        <v>319</v>
      </c>
      <c r="B264" s="23">
        <v>45997</v>
      </c>
      <c r="C264" s="22" t="s">
        <v>16</v>
      </c>
      <c r="D264" s="22" t="s">
        <v>17</v>
      </c>
      <c r="E264" s="22" t="s">
        <v>23</v>
      </c>
      <c r="F264" s="24">
        <v>1</v>
      </c>
      <c r="G264" s="24">
        <v>3699</v>
      </c>
      <c r="H264" s="24">
        <v>2500</v>
      </c>
      <c r="I264" s="22" t="s">
        <v>19</v>
      </c>
      <c r="J264" s="22" t="s">
        <v>52</v>
      </c>
      <c r="K264" s="25">
        <f>Table1[[#This Row],[Quantity]]*Table1[[#This Row],[Unit Price]]</f>
        <v>3699</v>
      </c>
      <c r="L264" s="24">
        <f>Table1[[#This Row],[Revenue]]-Table1[[#This Row],[Cost Price]]*Table1[[#This Row],[Quantity]]</f>
        <v>1199</v>
      </c>
      <c r="M264" s="26">
        <f>IFERROR(Table1[[#This Row],[Profit]]/Table1[[#This Row],[Revenue]],"")</f>
        <v>0.32414165990808325</v>
      </c>
      <c r="N264" s="22"/>
      <c r="O264" s="42" t="s">
        <v>319</v>
      </c>
      <c r="P264" s="27" cm="1">
        <f t="array" ref="P264:AA264">_xlfn.XLOOKUP(O264,Table1[Order ID],Table1[[Order Date]:[Profit Margin]],0,0,1)</f>
        <v>45997</v>
      </c>
      <c r="Q264" s="22" t="str">
        <v>Mixer Grinder</v>
      </c>
      <c r="R264" s="22" t="str">
        <v>Appliances</v>
      </c>
      <c r="S264" s="22" t="str">
        <v>West</v>
      </c>
      <c r="T264" s="22">
        <v>1</v>
      </c>
      <c r="U264" s="22">
        <v>3699</v>
      </c>
      <c r="V264" s="22">
        <v>2500</v>
      </c>
      <c r="W264" s="22" t="str">
        <v>Delivered</v>
      </c>
      <c r="X264" s="22" t="str">
        <v>Cash</v>
      </c>
      <c r="Y264" s="22">
        <v>3699</v>
      </c>
      <c r="Z264" s="22">
        <v>1199</v>
      </c>
      <c r="AA264" s="43">
        <v>0.32414165990808325</v>
      </c>
      <c r="AB264" s="15"/>
    </row>
    <row r="265" spans="1:28" x14ac:dyDescent="0.3">
      <c r="A265" s="37" t="s">
        <v>95</v>
      </c>
      <c r="B265" s="38">
        <v>45999</v>
      </c>
      <c r="C265" s="37" t="s">
        <v>46</v>
      </c>
      <c r="D265" s="37" t="s">
        <v>27</v>
      </c>
      <c r="E265" s="37" t="s">
        <v>28</v>
      </c>
      <c r="F265" s="39">
        <v>4</v>
      </c>
      <c r="G265" s="39">
        <v>399</v>
      </c>
      <c r="H265" s="39">
        <v>120</v>
      </c>
      <c r="I265" s="37" t="s">
        <v>24</v>
      </c>
      <c r="J265" s="37" t="s">
        <v>34</v>
      </c>
      <c r="K265" s="40">
        <f>Table1[[#This Row],[Quantity]]*Table1[[#This Row],[Unit Price]]</f>
        <v>1596</v>
      </c>
      <c r="L265" s="39">
        <f>Table1[[#This Row],[Revenue]]-Table1[[#This Row],[Cost Price]]*Table1[[#This Row],[Quantity]]</f>
        <v>1116</v>
      </c>
      <c r="M265" s="41">
        <f>IFERROR(Table1[[#This Row],[Profit]]/Table1[[#This Row],[Revenue]],"")</f>
        <v>0.6992481203007519</v>
      </c>
      <c r="N265" s="22"/>
      <c r="O265" s="49" t="s">
        <v>95</v>
      </c>
      <c r="P265" s="50" cm="1">
        <f t="array" ref="P265:AA265">_xlfn.XLOOKUP(O265,Table1[Order ID],Table1[[Order Date]:[Profit Margin]],0,0,1)</f>
        <v>45999</v>
      </c>
      <c r="Q265" s="37" t="str">
        <v>Notebook Pack</v>
      </c>
      <c r="R265" s="37" t="str">
        <v>Stationery</v>
      </c>
      <c r="S265" s="37" t="str">
        <v>East</v>
      </c>
      <c r="T265" s="37">
        <v>4</v>
      </c>
      <c r="U265" s="37">
        <v>399</v>
      </c>
      <c r="V265" s="37">
        <v>120</v>
      </c>
      <c r="W265" s="37" t="str">
        <v>Cancelled</v>
      </c>
      <c r="X265" s="37" t="str">
        <v>UPI</v>
      </c>
      <c r="Y265" s="37">
        <v>1596</v>
      </c>
      <c r="Z265" s="37">
        <v>1116</v>
      </c>
      <c r="AA265" s="51">
        <v>0.6992481203007519</v>
      </c>
      <c r="AB265" s="15"/>
    </row>
    <row r="266" spans="1:28" x14ac:dyDescent="0.3">
      <c r="A266" s="22" t="s">
        <v>129</v>
      </c>
      <c r="B266" s="23">
        <v>45999</v>
      </c>
      <c r="C266" s="22" t="s">
        <v>65</v>
      </c>
      <c r="D266" s="22" t="s">
        <v>12</v>
      </c>
      <c r="E266" s="22" t="s">
        <v>18</v>
      </c>
      <c r="F266" s="24">
        <v>6</v>
      </c>
      <c r="G266" s="24">
        <v>5299</v>
      </c>
      <c r="H266" s="24">
        <v>3800</v>
      </c>
      <c r="I266" s="22" t="s">
        <v>19</v>
      </c>
      <c r="J266" s="22" t="s">
        <v>26</v>
      </c>
      <c r="K266" s="25">
        <f>Table1[[#This Row],[Quantity]]*Table1[[#This Row],[Unit Price]]</f>
        <v>31794</v>
      </c>
      <c r="L266" s="24">
        <f>Table1[[#This Row],[Revenue]]-Table1[[#This Row],[Cost Price]]*Table1[[#This Row],[Quantity]]</f>
        <v>8994</v>
      </c>
      <c r="M266" s="26">
        <f>IFERROR(Table1[[#This Row],[Profit]]/Table1[[#This Row],[Revenue]],"")</f>
        <v>0.2828835629364031</v>
      </c>
      <c r="N266" s="22"/>
      <c r="O266" s="42" t="s">
        <v>129</v>
      </c>
      <c r="P266" s="27" cm="1">
        <f t="array" ref="P266:AA266">_xlfn.XLOOKUP(O266,Table1[Order ID],Table1[[Order Date]:[Profit Margin]],0,0,1)</f>
        <v>45999</v>
      </c>
      <c r="Q266" s="22" t="str">
        <v>Office Chair</v>
      </c>
      <c r="R266" s="22" t="str">
        <v>Furniture</v>
      </c>
      <c r="S266" s="22" t="str">
        <v>Central</v>
      </c>
      <c r="T266" s="22">
        <v>6</v>
      </c>
      <c r="U266" s="22">
        <v>5299</v>
      </c>
      <c r="V266" s="22">
        <v>3800</v>
      </c>
      <c r="W266" s="22" t="str">
        <v>Delivered</v>
      </c>
      <c r="X266" s="22" t="str">
        <v>Credit Card</v>
      </c>
      <c r="Y266" s="22">
        <v>31794</v>
      </c>
      <c r="Z266" s="22">
        <v>8994</v>
      </c>
      <c r="AA266" s="43">
        <v>0.2828835629364031</v>
      </c>
      <c r="AB266" s="15"/>
    </row>
    <row r="267" spans="1:28" x14ac:dyDescent="0.3">
      <c r="A267" s="37" t="s">
        <v>194</v>
      </c>
      <c r="B267" s="38">
        <v>46001</v>
      </c>
      <c r="C267" s="37" t="s">
        <v>91</v>
      </c>
      <c r="D267" s="37" t="s">
        <v>38</v>
      </c>
      <c r="E267" s="37" t="s">
        <v>28</v>
      </c>
      <c r="F267" s="39">
        <v>10</v>
      </c>
      <c r="G267" s="39">
        <v>699</v>
      </c>
      <c r="H267" s="39">
        <v>500</v>
      </c>
      <c r="I267" s="37" t="s">
        <v>33</v>
      </c>
      <c r="J267" s="37" t="s">
        <v>34</v>
      </c>
      <c r="K267" s="40">
        <f>Table1[[#This Row],[Quantity]]*Table1[[#This Row],[Unit Price]]</f>
        <v>6990</v>
      </c>
      <c r="L267" s="39">
        <f>Table1[[#This Row],[Revenue]]-Table1[[#This Row],[Cost Price]]*Table1[[#This Row],[Quantity]]</f>
        <v>1990</v>
      </c>
      <c r="M267" s="41">
        <f>IFERROR(Table1[[#This Row],[Profit]]/Table1[[#This Row],[Revenue]],"")</f>
        <v>0.28469241773962806</v>
      </c>
      <c r="N267" s="22"/>
      <c r="O267" s="49" t="s">
        <v>194</v>
      </c>
      <c r="P267" s="50" cm="1">
        <f t="array" ref="P267:AA267">_xlfn.XLOOKUP(O267,Table1[Order ID],Table1[[Order Date]:[Profit Margin]],0,0,1)</f>
        <v>46001</v>
      </c>
      <c r="Q267" s="37" t="str">
        <v>LED Desk Lamp</v>
      </c>
      <c r="R267" s="37" t="str">
        <v>Home Decor</v>
      </c>
      <c r="S267" s="37" t="str">
        <v>East</v>
      </c>
      <c r="T267" s="37">
        <v>10</v>
      </c>
      <c r="U267" s="37">
        <v>699</v>
      </c>
      <c r="V267" s="37">
        <v>500</v>
      </c>
      <c r="W267" s="37" t="str">
        <v>Shipped</v>
      </c>
      <c r="X267" s="37" t="str">
        <v>UPI</v>
      </c>
      <c r="Y267" s="37">
        <v>6990</v>
      </c>
      <c r="Z267" s="37">
        <v>1990</v>
      </c>
      <c r="AA267" s="51">
        <v>0.28469241773962806</v>
      </c>
      <c r="AB267" s="15"/>
    </row>
    <row r="268" spans="1:28" x14ac:dyDescent="0.3">
      <c r="A268" s="22" t="s">
        <v>230</v>
      </c>
      <c r="B268" s="23">
        <v>46001</v>
      </c>
      <c r="C268" s="22" t="s">
        <v>51</v>
      </c>
      <c r="D268" s="22" t="s">
        <v>31</v>
      </c>
      <c r="E268" s="22" t="s">
        <v>18</v>
      </c>
      <c r="F268" s="24">
        <v>4</v>
      </c>
      <c r="G268" s="24">
        <v>3099</v>
      </c>
      <c r="H268" s="24">
        <v>1800</v>
      </c>
      <c r="I268" s="22" t="s">
        <v>24</v>
      </c>
      <c r="J268" s="22" t="s">
        <v>47</v>
      </c>
      <c r="K268" s="25">
        <f>Table1[[#This Row],[Quantity]]*Table1[[#This Row],[Unit Price]]</f>
        <v>12396</v>
      </c>
      <c r="L268" s="24">
        <f>Table1[[#This Row],[Revenue]]-Table1[[#This Row],[Cost Price]]*Table1[[#This Row],[Quantity]]</f>
        <v>5196</v>
      </c>
      <c r="M268" s="26">
        <f>IFERROR(Table1[[#This Row],[Profit]]/Table1[[#This Row],[Revenue]],"")</f>
        <v>0.41916747337850918</v>
      </c>
      <c r="N268" s="22"/>
      <c r="O268" s="42" t="s">
        <v>230</v>
      </c>
      <c r="P268" s="27" cm="1">
        <f t="array" ref="P268:AA268">_xlfn.XLOOKUP(O268,Table1[Order ID],Table1[[Order Date]:[Profit Margin]],0,0,1)</f>
        <v>46001</v>
      </c>
      <c r="Q268" s="22" t="str">
        <v>Bluetooth Speaker</v>
      </c>
      <c r="R268" s="22" t="str">
        <v>Electronics</v>
      </c>
      <c r="S268" s="22" t="str">
        <v>Central</v>
      </c>
      <c r="T268" s="22">
        <v>4</v>
      </c>
      <c r="U268" s="22">
        <v>3099</v>
      </c>
      <c r="V268" s="22">
        <v>1800</v>
      </c>
      <c r="W268" s="22" t="str">
        <v>Cancelled</v>
      </c>
      <c r="X268" s="22" t="str">
        <v>Debit Card</v>
      </c>
      <c r="Y268" s="22">
        <v>12396</v>
      </c>
      <c r="Z268" s="22">
        <v>5196</v>
      </c>
      <c r="AA268" s="43">
        <v>0.41916747337850918</v>
      </c>
      <c r="AB268" s="15"/>
    </row>
    <row r="269" spans="1:28" x14ac:dyDescent="0.3">
      <c r="A269" s="37" t="s">
        <v>126</v>
      </c>
      <c r="B269" s="38">
        <v>46003</v>
      </c>
      <c r="C269" s="37" t="s">
        <v>65</v>
      </c>
      <c r="D269" s="37" t="s">
        <v>12</v>
      </c>
      <c r="E269" s="37" t="s">
        <v>18</v>
      </c>
      <c r="F269" s="39">
        <v>5</v>
      </c>
      <c r="G269" s="39">
        <v>5699</v>
      </c>
      <c r="H269" s="39">
        <v>3800</v>
      </c>
      <c r="I269" s="37" t="s">
        <v>19</v>
      </c>
      <c r="J269" s="37" t="s">
        <v>26</v>
      </c>
      <c r="K269" s="40">
        <f>Table1[[#This Row],[Quantity]]*Table1[[#This Row],[Unit Price]]</f>
        <v>28495</v>
      </c>
      <c r="L269" s="39">
        <f>Table1[[#This Row],[Revenue]]-Table1[[#This Row],[Cost Price]]*Table1[[#This Row],[Quantity]]</f>
        <v>9495</v>
      </c>
      <c r="M269" s="41">
        <f>IFERROR(Table1[[#This Row],[Profit]]/Table1[[#This Row],[Revenue]],"")</f>
        <v>0.33321635374627129</v>
      </c>
      <c r="N269" s="22"/>
      <c r="O269" s="49" t="s">
        <v>126</v>
      </c>
      <c r="P269" s="50" cm="1">
        <f t="array" ref="P269:AA269">_xlfn.XLOOKUP(O269,Table1[Order ID],Table1[[Order Date]:[Profit Margin]],0,0,1)</f>
        <v>46003</v>
      </c>
      <c r="Q269" s="37" t="str">
        <v>Office Chair</v>
      </c>
      <c r="R269" s="37" t="str">
        <v>Furniture</v>
      </c>
      <c r="S269" s="37" t="str">
        <v>Central</v>
      </c>
      <c r="T269" s="37">
        <v>5</v>
      </c>
      <c r="U269" s="37">
        <v>5699</v>
      </c>
      <c r="V269" s="37">
        <v>3800</v>
      </c>
      <c r="W269" s="37" t="str">
        <v>Delivered</v>
      </c>
      <c r="X269" s="37" t="str">
        <v>Credit Card</v>
      </c>
      <c r="Y269" s="37">
        <v>28495</v>
      </c>
      <c r="Z269" s="37">
        <v>9495</v>
      </c>
      <c r="AA269" s="51">
        <v>0.33321635374627129</v>
      </c>
      <c r="AB269" s="15"/>
    </row>
    <row r="270" spans="1:28" x14ac:dyDescent="0.3">
      <c r="A270" s="22" t="s">
        <v>159</v>
      </c>
      <c r="B270" s="23">
        <v>46004</v>
      </c>
      <c r="C270" s="22" t="s">
        <v>16</v>
      </c>
      <c r="D270" s="22" t="s">
        <v>17</v>
      </c>
      <c r="E270" s="22" t="s">
        <v>13</v>
      </c>
      <c r="F270" s="24">
        <v>4</v>
      </c>
      <c r="G270" s="24">
        <v>3599</v>
      </c>
      <c r="H270" s="24">
        <v>2500</v>
      </c>
      <c r="I270" s="22" t="s">
        <v>33</v>
      </c>
      <c r="J270" s="22" t="s">
        <v>52</v>
      </c>
      <c r="K270" s="25">
        <f>Table1[[#This Row],[Quantity]]*Table1[[#This Row],[Unit Price]]</f>
        <v>14396</v>
      </c>
      <c r="L270" s="24">
        <f>Table1[[#This Row],[Revenue]]-Table1[[#This Row],[Cost Price]]*Table1[[#This Row],[Quantity]]</f>
        <v>4396</v>
      </c>
      <c r="M270" s="26">
        <f>IFERROR(Table1[[#This Row],[Profit]]/Table1[[#This Row],[Revenue]],"")</f>
        <v>0.30536260072242288</v>
      </c>
      <c r="N270" s="22"/>
      <c r="O270" s="42" t="s">
        <v>159</v>
      </c>
      <c r="P270" s="27" cm="1">
        <f t="array" ref="P270:AA270">_xlfn.XLOOKUP(O270,Table1[Order ID],Table1[[Order Date]:[Profit Margin]],0,0,1)</f>
        <v>46004</v>
      </c>
      <c r="Q270" s="22" t="str">
        <v>Mixer Grinder</v>
      </c>
      <c r="R270" s="22" t="str">
        <v>Appliances</v>
      </c>
      <c r="S270" s="22" t="str">
        <v>South</v>
      </c>
      <c r="T270" s="22">
        <v>4</v>
      </c>
      <c r="U270" s="22">
        <v>3599</v>
      </c>
      <c r="V270" s="22">
        <v>2500</v>
      </c>
      <c r="W270" s="22" t="str">
        <v>Shipped</v>
      </c>
      <c r="X270" s="22" t="str">
        <v>Cash</v>
      </c>
      <c r="Y270" s="22">
        <v>14396</v>
      </c>
      <c r="Z270" s="22">
        <v>4396</v>
      </c>
      <c r="AA270" s="43">
        <v>0.30536260072242288</v>
      </c>
      <c r="AB270" s="15"/>
    </row>
    <row r="271" spans="1:28" x14ac:dyDescent="0.3">
      <c r="A271" s="37" t="s">
        <v>156</v>
      </c>
      <c r="B271" s="38">
        <v>46008</v>
      </c>
      <c r="C271" s="37" t="s">
        <v>21</v>
      </c>
      <c r="D271" s="37" t="s">
        <v>22</v>
      </c>
      <c r="E271" s="37" t="s">
        <v>32</v>
      </c>
      <c r="F271" s="39">
        <v>10</v>
      </c>
      <c r="G271" s="39">
        <v>799</v>
      </c>
      <c r="H271" s="39">
        <v>350</v>
      </c>
      <c r="I271" s="37" t="s">
        <v>14</v>
      </c>
      <c r="J271" s="37" t="s">
        <v>26</v>
      </c>
      <c r="K271" s="40">
        <f>Table1[[#This Row],[Quantity]]*Table1[[#This Row],[Unit Price]]</f>
        <v>7990</v>
      </c>
      <c r="L271" s="39">
        <f>Table1[[#This Row],[Revenue]]-Table1[[#This Row],[Cost Price]]*Table1[[#This Row],[Quantity]]</f>
        <v>4490</v>
      </c>
      <c r="M271" s="41">
        <f>IFERROR(Table1[[#This Row],[Profit]]/Table1[[#This Row],[Revenue]],"")</f>
        <v>0.56195244055068838</v>
      </c>
      <c r="N271" s="22"/>
      <c r="O271" s="49" t="s">
        <v>156</v>
      </c>
      <c r="P271" s="50" cm="1">
        <f t="array" ref="P271:AA271">_xlfn.XLOOKUP(O271,Table1[Order ID],Table1[[Order Date]:[Profit Margin]],0,0,1)</f>
        <v>46008</v>
      </c>
      <c r="Q271" s="37" t="str">
        <v>Cotton T-Shirt</v>
      </c>
      <c r="R271" s="37" t="str">
        <v>Fashion</v>
      </c>
      <c r="S271" s="37" t="str">
        <v>North</v>
      </c>
      <c r="T271" s="37">
        <v>10</v>
      </c>
      <c r="U271" s="37">
        <v>799</v>
      </c>
      <c r="V271" s="37">
        <v>350</v>
      </c>
      <c r="W271" s="37" t="str">
        <v>Returned</v>
      </c>
      <c r="X271" s="37" t="str">
        <v>Credit Card</v>
      </c>
      <c r="Y271" s="37">
        <v>7990</v>
      </c>
      <c r="Z271" s="37">
        <v>4490</v>
      </c>
      <c r="AA271" s="51">
        <v>0.56195244055068838</v>
      </c>
      <c r="AB271" s="15"/>
    </row>
    <row r="272" spans="1:28" x14ac:dyDescent="0.3">
      <c r="A272" s="22" t="s">
        <v>164</v>
      </c>
      <c r="B272" s="23">
        <v>46008</v>
      </c>
      <c r="C272" s="22" t="s">
        <v>91</v>
      </c>
      <c r="D272" s="22" t="s">
        <v>38</v>
      </c>
      <c r="E272" s="22" t="s">
        <v>13</v>
      </c>
      <c r="F272" s="24">
        <v>4</v>
      </c>
      <c r="G272" s="24">
        <v>1099</v>
      </c>
      <c r="H272" s="24">
        <v>500</v>
      </c>
      <c r="I272" s="22" t="s">
        <v>33</v>
      </c>
      <c r="J272" s="22" t="s">
        <v>55</v>
      </c>
      <c r="K272" s="25">
        <f>Table1[[#This Row],[Quantity]]*Table1[[#This Row],[Unit Price]]</f>
        <v>4396</v>
      </c>
      <c r="L272" s="24">
        <f>Table1[[#This Row],[Revenue]]-Table1[[#This Row],[Cost Price]]*Table1[[#This Row],[Quantity]]</f>
        <v>2396</v>
      </c>
      <c r="M272" s="26">
        <f>IFERROR(Table1[[#This Row],[Profit]]/Table1[[#This Row],[Revenue]],"")</f>
        <v>0.54504094631483169</v>
      </c>
      <c r="N272" s="22"/>
      <c r="O272" s="42" t="s">
        <v>164</v>
      </c>
      <c r="P272" s="27" cm="1">
        <f t="array" ref="P272:AA272">_xlfn.XLOOKUP(O272,Table1[Order ID],Table1[[Order Date]:[Profit Margin]],0,0,1)</f>
        <v>46008</v>
      </c>
      <c r="Q272" s="22" t="str">
        <v>LED Desk Lamp</v>
      </c>
      <c r="R272" s="22" t="str">
        <v>Home Decor</v>
      </c>
      <c r="S272" s="22" t="str">
        <v>South</v>
      </c>
      <c r="T272" s="22">
        <v>4</v>
      </c>
      <c r="U272" s="22">
        <v>1099</v>
      </c>
      <c r="V272" s="22">
        <v>500</v>
      </c>
      <c r="W272" s="22" t="str">
        <v>Shipped</v>
      </c>
      <c r="X272" s="22" t="str">
        <v>Net Banking</v>
      </c>
      <c r="Y272" s="22">
        <v>4396</v>
      </c>
      <c r="Z272" s="22">
        <v>2396</v>
      </c>
      <c r="AA272" s="43">
        <v>0.54504094631483169</v>
      </c>
      <c r="AB272" s="15"/>
    </row>
    <row r="273" spans="1:28" x14ac:dyDescent="0.3">
      <c r="A273" s="37" t="s">
        <v>227</v>
      </c>
      <c r="B273" s="38">
        <v>46010</v>
      </c>
      <c r="C273" s="37" t="s">
        <v>60</v>
      </c>
      <c r="D273" s="37" t="s">
        <v>31</v>
      </c>
      <c r="E273" s="37" t="s">
        <v>32</v>
      </c>
      <c r="F273" s="39">
        <v>7</v>
      </c>
      <c r="G273" s="39">
        <v>3499</v>
      </c>
      <c r="H273" s="39">
        <v>2400</v>
      </c>
      <c r="I273" s="37" t="s">
        <v>33</v>
      </c>
      <c r="J273" s="37" t="s">
        <v>26</v>
      </c>
      <c r="K273" s="40">
        <f>Table1[[#This Row],[Quantity]]*Table1[[#This Row],[Unit Price]]</f>
        <v>24493</v>
      </c>
      <c r="L273" s="39">
        <f>Table1[[#This Row],[Revenue]]-Table1[[#This Row],[Cost Price]]*Table1[[#This Row],[Quantity]]</f>
        <v>7693</v>
      </c>
      <c r="M273" s="41">
        <f>IFERROR(Table1[[#This Row],[Profit]]/Table1[[#This Row],[Revenue]],"")</f>
        <v>0.31408973992569306</v>
      </c>
      <c r="N273" s="22"/>
      <c r="O273" s="49" t="s">
        <v>227</v>
      </c>
      <c r="P273" s="50" cm="1">
        <f t="array" ref="P273:AA273">_xlfn.XLOOKUP(O273,Table1[Order ID],Table1[[Order Date]:[Profit Margin]],0,0,1)</f>
        <v>46010</v>
      </c>
      <c r="Q273" s="37" t="str">
        <v>Smart Watch</v>
      </c>
      <c r="R273" s="37" t="str">
        <v>Electronics</v>
      </c>
      <c r="S273" s="37" t="str">
        <v>North</v>
      </c>
      <c r="T273" s="37">
        <v>7</v>
      </c>
      <c r="U273" s="37">
        <v>3499</v>
      </c>
      <c r="V273" s="37">
        <v>2400</v>
      </c>
      <c r="W273" s="37" t="str">
        <v>Shipped</v>
      </c>
      <c r="X273" s="37" t="str">
        <v>Credit Card</v>
      </c>
      <c r="Y273" s="37">
        <v>24493</v>
      </c>
      <c r="Z273" s="37">
        <v>7693</v>
      </c>
      <c r="AA273" s="51">
        <v>0.31408973992569306</v>
      </c>
      <c r="AB273" s="15"/>
    </row>
    <row r="274" spans="1:28" x14ac:dyDescent="0.3">
      <c r="A274" s="22" t="s">
        <v>249</v>
      </c>
      <c r="B274" s="23">
        <v>46010</v>
      </c>
      <c r="C274" s="22" t="s">
        <v>44</v>
      </c>
      <c r="D274" s="22" t="s">
        <v>31</v>
      </c>
      <c r="E274" s="22" t="s">
        <v>13</v>
      </c>
      <c r="F274" s="24">
        <v>8</v>
      </c>
      <c r="G274" s="24">
        <v>13199</v>
      </c>
      <c r="H274" s="24">
        <v>10800</v>
      </c>
      <c r="I274" s="22" t="s">
        <v>33</v>
      </c>
      <c r="J274" s="22" t="s">
        <v>52</v>
      </c>
      <c r="K274" s="25">
        <f>Table1[[#This Row],[Quantity]]*Table1[[#This Row],[Unit Price]]</f>
        <v>105592</v>
      </c>
      <c r="L274" s="24">
        <f>Table1[[#This Row],[Revenue]]-Table1[[#This Row],[Cost Price]]*Table1[[#This Row],[Quantity]]</f>
        <v>19192</v>
      </c>
      <c r="M274" s="26">
        <f>IFERROR(Table1[[#This Row],[Profit]]/Table1[[#This Row],[Revenue]],"")</f>
        <v>0.18175619365103418</v>
      </c>
      <c r="N274" s="22"/>
      <c r="O274" s="42" t="s">
        <v>249</v>
      </c>
      <c r="P274" s="27" cm="1">
        <f t="array" ref="P274:AA274">_xlfn.XLOOKUP(O274,Table1[Order ID],Table1[[Order Date]:[Profit Margin]],0,0,1)</f>
        <v>46010</v>
      </c>
      <c r="Q274" s="22" t="str">
        <v>Samsung Galaxy M14</v>
      </c>
      <c r="R274" s="22" t="str">
        <v>Electronics</v>
      </c>
      <c r="S274" s="22" t="str">
        <v>South</v>
      </c>
      <c r="T274" s="22">
        <v>8</v>
      </c>
      <c r="U274" s="22">
        <v>13199</v>
      </c>
      <c r="V274" s="22">
        <v>10800</v>
      </c>
      <c r="W274" s="22" t="str">
        <v>Shipped</v>
      </c>
      <c r="X274" s="22" t="str">
        <v>Cash</v>
      </c>
      <c r="Y274" s="22">
        <v>105592</v>
      </c>
      <c r="Z274" s="22">
        <v>19192</v>
      </c>
      <c r="AA274" s="43">
        <v>0.18175619365103418</v>
      </c>
      <c r="AB274" s="15"/>
    </row>
    <row r="275" spans="1:28" x14ac:dyDescent="0.3">
      <c r="A275" s="37" t="s">
        <v>103</v>
      </c>
      <c r="B275" s="38">
        <v>46012</v>
      </c>
      <c r="C275" s="37" t="s">
        <v>51</v>
      </c>
      <c r="D275" s="37" t="s">
        <v>31</v>
      </c>
      <c r="E275" s="37" t="s">
        <v>28</v>
      </c>
      <c r="F275" s="39">
        <v>9</v>
      </c>
      <c r="G275" s="39">
        <v>3199</v>
      </c>
      <c r="H275" s="39">
        <v>1800</v>
      </c>
      <c r="I275" s="37" t="s">
        <v>19</v>
      </c>
      <c r="J275" s="37" t="s">
        <v>55</v>
      </c>
      <c r="K275" s="40">
        <f>Table1[[#This Row],[Quantity]]*Table1[[#This Row],[Unit Price]]</f>
        <v>28791</v>
      </c>
      <c r="L275" s="39">
        <f>Table1[[#This Row],[Revenue]]-Table1[[#This Row],[Cost Price]]*Table1[[#This Row],[Quantity]]</f>
        <v>12591</v>
      </c>
      <c r="M275" s="41">
        <f>IFERROR(Table1[[#This Row],[Profit]]/Table1[[#This Row],[Revenue]],"")</f>
        <v>0.43732416380118788</v>
      </c>
      <c r="N275" s="22"/>
      <c r="O275" s="49" t="s">
        <v>103</v>
      </c>
      <c r="P275" s="50" cm="1">
        <f t="array" ref="P275:AA275">_xlfn.XLOOKUP(O275,Table1[Order ID],Table1[[Order Date]:[Profit Margin]],0,0,1)</f>
        <v>46012</v>
      </c>
      <c r="Q275" s="37" t="str">
        <v>Bluetooth Speaker</v>
      </c>
      <c r="R275" s="37" t="str">
        <v>Electronics</v>
      </c>
      <c r="S275" s="37" t="str">
        <v>East</v>
      </c>
      <c r="T275" s="37">
        <v>9</v>
      </c>
      <c r="U275" s="37">
        <v>3199</v>
      </c>
      <c r="V275" s="37">
        <v>1800</v>
      </c>
      <c r="W275" s="37" t="str">
        <v>Delivered</v>
      </c>
      <c r="X275" s="37" t="str">
        <v>Net Banking</v>
      </c>
      <c r="Y275" s="37">
        <v>28791</v>
      </c>
      <c r="Z275" s="37">
        <v>12591</v>
      </c>
      <c r="AA275" s="51">
        <v>0.43732416380118788</v>
      </c>
      <c r="AB275" s="15"/>
    </row>
    <row r="276" spans="1:28" x14ac:dyDescent="0.3">
      <c r="A276" s="22" t="s">
        <v>173</v>
      </c>
      <c r="B276" s="23">
        <v>46012</v>
      </c>
      <c r="C276" s="22" t="s">
        <v>21</v>
      </c>
      <c r="D276" s="22" t="s">
        <v>22</v>
      </c>
      <c r="E276" s="22" t="s">
        <v>32</v>
      </c>
      <c r="F276" s="24">
        <v>7</v>
      </c>
      <c r="G276" s="24">
        <v>799</v>
      </c>
      <c r="H276" s="24">
        <v>350</v>
      </c>
      <c r="I276" s="22" t="s">
        <v>14</v>
      </c>
      <c r="J276" s="22" t="s">
        <v>34</v>
      </c>
      <c r="K276" s="25">
        <f>Table1[[#This Row],[Quantity]]*Table1[[#This Row],[Unit Price]]</f>
        <v>5593</v>
      </c>
      <c r="L276" s="24">
        <f>Table1[[#This Row],[Revenue]]-Table1[[#This Row],[Cost Price]]*Table1[[#This Row],[Quantity]]</f>
        <v>3143</v>
      </c>
      <c r="M276" s="26">
        <f>IFERROR(Table1[[#This Row],[Profit]]/Table1[[#This Row],[Revenue]],"")</f>
        <v>0.56195244055068838</v>
      </c>
      <c r="N276" s="22"/>
      <c r="O276" s="42" t="s">
        <v>173</v>
      </c>
      <c r="P276" s="27" cm="1">
        <f t="array" ref="P276:AA276">_xlfn.XLOOKUP(O276,Table1[Order ID],Table1[[Order Date]:[Profit Margin]],0,0,1)</f>
        <v>46012</v>
      </c>
      <c r="Q276" s="22" t="str">
        <v>Cotton T-Shirt</v>
      </c>
      <c r="R276" s="22" t="str">
        <v>Fashion</v>
      </c>
      <c r="S276" s="22" t="str">
        <v>North</v>
      </c>
      <c r="T276" s="22">
        <v>7</v>
      </c>
      <c r="U276" s="22">
        <v>799</v>
      </c>
      <c r="V276" s="22">
        <v>350</v>
      </c>
      <c r="W276" s="22" t="str">
        <v>Returned</v>
      </c>
      <c r="X276" s="22" t="str">
        <v>UPI</v>
      </c>
      <c r="Y276" s="22">
        <v>5593</v>
      </c>
      <c r="Z276" s="22">
        <v>3143</v>
      </c>
      <c r="AA276" s="43">
        <v>0.56195244055068838</v>
      </c>
      <c r="AB276" s="15"/>
    </row>
    <row r="277" spans="1:28" x14ac:dyDescent="0.3">
      <c r="A277" s="37" t="s">
        <v>215</v>
      </c>
      <c r="B277" s="38">
        <v>46012</v>
      </c>
      <c r="C277" s="37" t="s">
        <v>46</v>
      </c>
      <c r="D277" s="37" t="s">
        <v>27</v>
      </c>
      <c r="E277" s="37" t="s">
        <v>28</v>
      </c>
      <c r="F277" s="39">
        <v>6</v>
      </c>
      <c r="G277" s="39">
        <v>199</v>
      </c>
      <c r="H277" s="39">
        <v>120</v>
      </c>
      <c r="I277" s="37" t="s">
        <v>41</v>
      </c>
      <c r="J277" s="37" t="s">
        <v>34</v>
      </c>
      <c r="K277" s="40">
        <f>Table1[[#This Row],[Quantity]]*Table1[[#This Row],[Unit Price]]</f>
        <v>1194</v>
      </c>
      <c r="L277" s="39">
        <f>Table1[[#This Row],[Revenue]]-Table1[[#This Row],[Cost Price]]*Table1[[#This Row],[Quantity]]</f>
        <v>474</v>
      </c>
      <c r="M277" s="41">
        <f>IFERROR(Table1[[#This Row],[Profit]]/Table1[[#This Row],[Revenue]],"")</f>
        <v>0.39698492462311558</v>
      </c>
      <c r="N277" s="22"/>
      <c r="O277" s="49" t="s">
        <v>215</v>
      </c>
      <c r="P277" s="50" cm="1">
        <f t="array" ref="P277:AA277">_xlfn.XLOOKUP(O277,Table1[Order ID],Table1[[Order Date]:[Profit Margin]],0,0,1)</f>
        <v>46012</v>
      </c>
      <c r="Q277" s="37" t="str">
        <v>Notebook Pack</v>
      </c>
      <c r="R277" s="37" t="str">
        <v>Stationery</v>
      </c>
      <c r="S277" s="37" t="str">
        <v>East</v>
      </c>
      <c r="T277" s="37">
        <v>6</v>
      </c>
      <c r="U277" s="37">
        <v>199</v>
      </c>
      <c r="V277" s="37">
        <v>120</v>
      </c>
      <c r="W277" s="37" t="str">
        <v>Processing</v>
      </c>
      <c r="X277" s="37" t="str">
        <v>UPI</v>
      </c>
      <c r="Y277" s="37">
        <v>1194</v>
      </c>
      <c r="Z277" s="37">
        <v>474</v>
      </c>
      <c r="AA277" s="51">
        <v>0.39698492462311558</v>
      </c>
      <c r="AB277" s="15"/>
    </row>
    <row r="278" spans="1:28" x14ac:dyDescent="0.3">
      <c r="A278" s="22" t="s">
        <v>226</v>
      </c>
      <c r="B278" s="23">
        <v>46012</v>
      </c>
      <c r="C278" s="22" t="s">
        <v>60</v>
      </c>
      <c r="D278" s="22" t="s">
        <v>31</v>
      </c>
      <c r="E278" s="22" t="s">
        <v>18</v>
      </c>
      <c r="F278" s="24">
        <v>6</v>
      </c>
      <c r="G278" s="24">
        <v>3499</v>
      </c>
      <c r="H278" s="24">
        <v>2400</v>
      </c>
      <c r="I278" s="22" t="s">
        <v>33</v>
      </c>
      <c r="J278" s="22" t="s">
        <v>55</v>
      </c>
      <c r="K278" s="25">
        <f>Table1[[#This Row],[Quantity]]*Table1[[#This Row],[Unit Price]]</f>
        <v>20994</v>
      </c>
      <c r="L278" s="24">
        <f>Table1[[#This Row],[Revenue]]-Table1[[#This Row],[Cost Price]]*Table1[[#This Row],[Quantity]]</f>
        <v>6594</v>
      </c>
      <c r="M278" s="26">
        <f>IFERROR(Table1[[#This Row],[Profit]]/Table1[[#This Row],[Revenue]],"")</f>
        <v>0.31408973992569306</v>
      </c>
      <c r="N278" s="22"/>
      <c r="O278" s="42" t="s">
        <v>226</v>
      </c>
      <c r="P278" s="27" cm="1">
        <f t="array" ref="P278:AA278">_xlfn.XLOOKUP(O278,Table1[Order ID],Table1[[Order Date]:[Profit Margin]],0,0,1)</f>
        <v>46012</v>
      </c>
      <c r="Q278" s="22" t="str">
        <v>Smart Watch</v>
      </c>
      <c r="R278" s="22" t="str">
        <v>Electronics</v>
      </c>
      <c r="S278" s="22" t="str">
        <v>Central</v>
      </c>
      <c r="T278" s="22">
        <v>6</v>
      </c>
      <c r="U278" s="22">
        <v>3499</v>
      </c>
      <c r="V278" s="22">
        <v>2400</v>
      </c>
      <c r="W278" s="22" t="str">
        <v>Shipped</v>
      </c>
      <c r="X278" s="22" t="str">
        <v>Net Banking</v>
      </c>
      <c r="Y278" s="22">
        <v>20994</v>
      </c>
      <c r="Z278" s="22">
        <v>6594</v>
      </c>
      <c r="AA278" s="43">
        <v>0.31408973992569306</v>
      </c>
      <c r="AB278" s="15"/>
    </row>
    <row r="279" spans="1:28" x14ac:dyDescent="0.3">
      <c r="A279" s="37" t="s">
        <v>140</v>
      </c>
      <c r="B279" s="38">
        <v>46015</v>
      </c>
      <c r="C279" s="37" t="s">
        <v>30</v>
      </c>
      <c r="D279" s="37" t="s">
        <v>31</v>
      </c>
      <c r="E279" s="37" t="s">
        <v>28</v>
      </c>
      <c r="F279" s="39">
        <v>2</v>
      </c>
      <c r="G279" s="39">
        <v>16199</v>
      </c>
      <c r="H279" s="39">
        <v>13500</v>
      </c>
      <c r="I279" s="37" t="s">
        <v>33</v>
      </c>
      <c r="J279" s="37" t="s">
        <v>47</v>
      </c>
      <c r="K279" s="40">
        <f>Table1[[#This Row],[Quantity]]*Table1[[#This Row],[Unit Price]]</f>
        <v>32398</v>
      </c>
      <c r="L279" s="39">
        <f>Table1[[#This Row],[Revenue]]-Table1[[#This Row],[Cost Price]]*Table1[[#This Row],[Quantity]]</f>
        <v>5398</v>
      </c>
      <c r="M279" s="41">
        <f>IFERROR(Table1[[#This Row],[Profit]]/Table1[[#This Row],[Revenue]],"")</f>
        <v>0.16661522316192356</v>
      </c>
      <c r="N279" s="22"/>
      <c r="O279" s="49" t="s">
        <v>140</v>
      </c>
      <c r="P279" s="50" cm="1">
        <f t="array" ref="P279:AA279">_xlfn.XLOOKUP(O279,Table1[Order ID],Table1[[Order Date]:[Profit Margin]],0,0,1)</f>
        <v>46015</v>
      </c>
      <c r="Q279" s="37" t="str">
        <v>Redmi Note 13</v>
      </c>
      <c r="R279" s="37" t="str">
        <v>Electronics</v>
      </c>
      <c r="S279" s="37" t="str">
        <v>East</v>
      </c>
      <c r="T279" s="37">
        <v>2</v>
      </c>
      <c r="U279" s="37">
        <v>16199</v>
      </c>
      <c r="V279" s="37">
        <v>13500</v>
      </c>
      <c r="W279" s="37" t="str">
        <v>Shipped</v>
      </c>
      <c r="X279" s="37" t="str">
        <v>Debit Card</v>
      </c>
      <c r="Y279" s="37">
        <v>32398</v>
      </c>
      <c r="Z279" s="37">
        <v>5398</v>
      </c>
      <c r="AA279" s="51">
        <v>0.16661522316192356</v>
      </c>
      <c r="AB279" s="15"/>
    </row>
    <row r="280" spans="1:28" x14ac:dyDescent="0.3">
      <c r="A280" s="22" t="s">
        <v>166</v>
      </c>
      <c r="B280" s="23">
        <v>46015</v>
      </c>
      <c r="C280" s="22" t="s">
        <v>11</v>
      </c>
      <c r="D280" s="22" t="s">
        <v>12</v>
      </c>
      <c r="E280" s="22" t="s">
        <v>23</v>
      </c>
      <c r="F280" s="24">
        <v>10</v>
      </c>
      <c r="G280" s="24">
        <v>6799</v>
      </c>
      <c r="H280" s="24">
        <v>5000</v>
      </c>
      <c r="I280" s="22" t="s">
        <v>19</v>
      </c>
      <c r="J280" s="22" t="s">
        <v>34</v>
      </c>
      <c r="K280" s="25">
        <f>Table1[[#This Row],[Quantity]]*Table1[[#This Row],[Unit Price]]</f>
        <v>67990</v>
      </c>
      <c r="L280" s="24">
        <f>Table1[[#This Row],[Revenue]]-Table1[[#This Row],[Cost Price]]*Table1[[#This Row],[Quantity]]</f>
        <v>17990</v>
      </c>
      <c r="M280" s="26">
        <f>IFERROR(Table1[[#This Row],[Profit]]/Table1[[#This Row],[Revenue]],"")</f>
        <v>0.26459773496102368</v>
      </c>
      <c r="N280" s="22"/>
      <c r="O280" s="42" t="s">
        <v>166</v>
      </c>
      <c r="P280" s="27" cm="1">
        <f t="array" ref="P280:AA280">_xlfn.XLOOKUP(O280,Table1[Order ID],Table1[[Order Date]:[Profit Margin]],0,0,1)</f>
        <v>46015</v>
      </c>
      <c r="Q280" s="22" t="str">
        <v>Study Table</v>
      </c>
      <c r="R280" s="22" t="str">
        <v>Furniture</v>
      </c>
      <c r="S280" s="22" t="str">
        <v>West</v>
      </c>
      <c r="T280" s="22">
        <v>10</v>
      </c>
      <c r="U280" s="22">
        <v>6799</v>
      </c>
      <c r="V280" s="22">
        <v>5000</v>
      </c>
      <c r="W280" s="22" t="str">
        <v>Delivered</v>
      </c>
      <c r="X280" s="22" t="str">
        <v>UPI</v>
      </c>
      <c r="Y280" s="22">
        <v>67990</v>
      </c>
      <c r="Z280" s="22">
        <v>17990</v>
      </c>
      <c r="AA280" s="43">
        <v>0.26459773496102368</v>
      </c>
      <c r="AB280" s="15"/>
    </row>
    <row r="281" spans="1:28" x14ac:dyDescent="0.3">
      <c r="A281" s="37" t="s">
        <v>252</v>
      </c>
      <c r="B281" s="38">
        <v>46016</v>
      </c>
      <c r="C281" s="37" t="s">
        <v>30</v>
      </c>
      <c r="D281" s="37" t="s">
        <v>31</v>
      </c>
      <c r="E281" s="37" t="s">
        <v>32</v>
      </c>
      <c r="F281" s="39">
        <v>2</v>
      </c>
      <c r="G281" s="39">
        <v>15899</v>
      </c>
      <c r="H281" s="39">
        <v>13500</v>
      </c>
      <c r="I281" s="37" t="s">
        <v>19</v>
      </c>
      <c r="J281" s="37" t="s">
        <v>52</v>
      </c>
      <c r="K281" s="40">
        <f>Table1[[#This Row],[Quantity]]*Table1[[#This Row],[Unit Price]]</f>
        <v>31798</v>
      </c>
      <c r="L281" s="39">
        <f>Table1[[#This Row],[Revenue]]-Table1[[#This Row],[Cost Price]]*Table1[[#This Row],[Quantity]]</f>
        <v>4798</v>
      </c>
      <c r="M281" s="41">
        <f>IFERROR(Table1[[#This Row],[Profit]]/Table1[[#This Row],[Revenue]],"")</f>
        <v>0.15088999308132586</v>
      </c>
      <c r="N281" s="22"/>
      <c r="O281" s="49" t="s">
        <v>252</v>
      </c>
      <c r="P281" s="50" cm="1">
        <f t="array" ref="P281:AA281">_xlfn.XLOOKUP(O281,Table1[Order ID],Table1[[Order Date]:[Profit Margin]],0,0,1)</f>
        <v>46016</v>
      </c>
      <c r="Q281" s="37" t="str">
        <v>Redmi Note 13</v>
      </c>
      <c r="R281" s="37" t="str">
        <v>Electronics</v>
      </c>
      <c r="S281" s="37" t="str">
        <v>North</v>
      </c>
      <c r="T281" s="37">
        <v>2</v>
      </c>
      <c r="U281" s="37">
        <v>15899</v>
      </c>
      <c r="V281" s="37">
        <v>13500</v>
      </c>
      <c r="W281" s="37" t="str">
        <v>Delivered</v>
      </c>
      <c r="X281" s="37" t="str">
        <v>Cash</v>
      </c>
      <c r="Y281" s="37">
        <v>31798</v>
      </c>
      <c r="Z281" s="37">
        <v>4798</v>
      </c>
      <c r="AA281" s="51">
        <v>0.15088999308132586</v>
      </c>
      <c r="AB281" s="15"/>
    </row>
    <row r="282" spans="1:28" x14ac:dyDescent="0.3">
      <c r="A282" s="22" t="s">
        <v>273</v>
      </c>
      <c r="B282" s="23">
        <v>46016</v>
      </c>
      <c r="C282" s="22" t="s">
        <v>37</v>
      </c>
      <c r="D282" s="22" t="s">
        <v>38</v>
      </c>
      <c r="E282" s="22" t="s">
        <v>13</v>
      </c>
      <c r="F282" s="24">
        <v>7</v>
      </c>
      <c r="G282" s="24">
        <v>149</v>
      </c>
      <c r="H282" s="24">
        <v>90</v>
      </c>
      <c r="I282" s="22" t="s">
        <v>33</v>
      </c>
      <c r="J282" s="22" t="s">
        <v>55</v>
      </c>
      <c r="K282" s="25">
        <f>Table1[[#This Row],[Quantity]]*Table1[[#This Row],[Unit Price]]</f>
        <v>1043</v>
      </c>
      <c r="L282" s="24">
        <f>Table1[[#This Row],[Revenue]]-Table1[[#This Row],[Cost Price]]*Table1[[#This Row],[Quantity]]</f>
        <v>413</v>
      </c>
      <c r="M282" s="26">
        <f>IFERROR(Table1[[#This Row],[Profit]]/Table1[[#This Row],[Revenue]],"")</f>
        <v>0.39597315436241609</v>
      </c>
      <c r="N282" s="22"/>
      <c r="O282" s="42" t="s">
        <v>273</v>
      </c>
      <c r="P282" s="27" cm="1">
        <f t="array" ref="P282:AA282">_xlfn.XLOOKUP(O282,Table1[Order ID],Table1[[Order Date]:[Profit Margin]],0,0,1)</f>
        <v>46016</v>
      </c>
      <c r="Q282" s="22" t="str">
        <v>Coffee Mug</v>
      </c>
      <c r="R282" s="22" t="str">
        <v>Home Decor</v>
      </c>
      <c r="S282" s="22" t="str">
        <v>South</v>
      </c>
      <c r="T282" s="22">
        <v>7</v>
      </c>
      <c r="U282" s="22">
        <v>149</v>
      </c>
      <c r="V282" s="22">
        <v>90</v>
      </c>
      <c r="W282" s="22" t="str">
        <v>Shipped</v>
      </c>
      <c r="X282" s="22" t="str">
        <v>Net Banking</v>
      </c>
      <c r="Y282" s="22">
        <v>1043</v>
      </c>
      <c r="Z282" s="22">
        <v>413</v>
      </c>
      <c r="AA282" s="43">
        <v>0.39597315436241609</v>
      </c>
      <c r="AB282" s="15"/>
    </row>
    <row r="283" spans="1:28" x14ac:dyDescent="0.3">
      <c r="A283" s="37" t="s">
        <v>110</v>
      </c>
      <c r="B283" s="38">
        <v>46017</v>
      </c>
      <c r="C283" s="37" t="s">
        <v>16</v>
      </c>
      <c r="D283" s="37" t="s">
        <v>17</v>
      </c>
      <c r="E283" s="37" t="s">
        <v>28</v>
      </c>
      <c r="F283" s="39">
        <v>2</v>
      </c>
      <c r="G283" s="39">
        <v>3599</v>
      </c>
      <c r="H283" s="39">
        <v>2500</v>
      </c>
      <c r="I283" s="37" t="s">
        <v>19</v>
      </c>
      <c r="J283" s="37" t="s">
        <v>52</v>
      </c>
      <c r="K283" s="40">
        <f>Table1[[#This Row],[Quantity]]*Table1[[#This Row],[Unit Price]]</f>
        <v>7198</v>
      </c>
      <c r="L283" s="39">
        <f>Table1[[#This Row],[Revenue]]-Table1[[#This Row],[Cost Price]]*Table1[[#This Row],[Quantity]]</f>
        <v>2198</v>
      </c>
      <c r="M283" s="41">
        <f>IFERROR(Table1[[#This Row],[Profit]]/Table1[[#This Row],[Revenue]],"")</f>
        <v>0.30536260072242288</v>
      </c>
      <c r="N283" s="22"/>
      <c r="O283" s="49" t="s">
        <v>110</v>
      </c>
      <c r="P283" s="50" cm="1">
        <f t="array" ref="P283:AA283">_xlfn.XLOOKUP(O283,Table1[Order ID],Table1[[Order Date]:[Profit Margin]],0,0,1)</f>
        <v>46017</v>
      </c>
      <c r="Q283" s="37" t="str">
        <v>Mixer Grinder</v>
      </c>
      <c r="R283" s="37" t="str">
        <v>Appliances</v>
      </c>
      <c r="S283" s="37" t="str">
        <v>East</v>
      </c>
      <c r="T283" s="37">
        <v>2</v>
      </c>
      <c r="U283" s="37">
        <v>3599</v>
      </c>
      <c r="V283" s="37">
        <v>2500</v>
      </c>
      <c r="W283" s="37" t="str">
        <v>Delivered</v>
      </c>
      <c r="X283" s="37" t="str">
        <v>Cash</v>
      </c>
      <c r="Y283" s="37">
        <v>7198</v>
      </c>
      <c r="Z283" s="37">
        <v>2198</v>
      </c>
      <c r="AA283" s="51">
        <v>0.30536260072242288</v>
      </c>
      <c r="AB283" s="15"/>
    </row>
    <row r="284" spans="1:28" x14ac:dyDescent="0.3">
      <c r="A284" s="22" t="s">
        <v>886</v>
      </c>
      <c r="B284" s="23">
        <v>46018</v>
      </c>
      <c r="C284" s="22" t="s">
        <v>65</v>
      </c>
      <c r="D284" s="22" t="s">
        <v>12</v>
      </c>
      <c r="E284" s="22" t="s">
        <v>28</v>
      </c>
      <c r="F284" s="24">
        <v>10</v>
      </c>
      <c r="G284" s="24">
        <v>5499</v>
      </c>
      <c r="H284" s="24">
        <v>3800</v>
      </c>
      <c r="I284" s="22" t="s">
        <v>19</v>
      </c>
      <c r="J284" s="22" t="s">
        <v>26</v>
      </c>
      <c r="K284" s="25">
        <f>Table1[[#This Row],[Quantity]]*Table1[[#This Row],[Unit Price]]</f>
        <v>54990</v>
      </c>
      <c r="L284" s="24">
        <f>Table1[[#This Row],[Revenue]]-Table1[[#This Row],[Cost Price]]*Table1[[#This Row],[Quantity]]</f>
        <v>16990</v>
      </c>
      <c r="M284" s="26">
        <f>IFERROR(Table1[[#This Row],[Profit]]/Table1[[#This Row],[Revenue]],"")</f>
        <v>0.30896526641207495</v>
      </c>
      <c r="N284" s="22"/>
      <c r="O284" s="42" t="s">
        <v>294</v>
      </c>
      <c r="P284" s="27" cm="1">
        <f t="array" ref="P284:AA284">_xlfn.XLOOKUP(O284,Table1[Order ID],Table1[[Order Date]:[Profit Margin]],0,0,1)</f>
        <v>45883</v>
      </c>
      <c r="Q284" s="22" t="str">
        <v>Running Shoes</v>
      </c>
      <c r="R284" s="22" t="str">
        <v>Fashion</v>
      </c>
      <c r="S284" s="22" t="str">
        <v>West</v>
      </c>
      <c r="T284" s="22">
        <v>10</v>
      </c>
      <c r="U284" s="22">
        <v>2499</v>
      </c>
      <c r="V284" s="22">
        <v>1400</v>
      </c>
      <c r="W284" s="22" t="str">
        <v>Delivered</v>
      </c>
      <c r="X284" s="22" t="str">
        <v>Credit Card</v>
      </c>
      <c r="Y284" s="22">
        <v>24990</v>
      </c>
      <c r="Z284" s="22">
        <v>10990</v>
      </c>
      <c r="AA284" s="43">
        <v>0.43977591036414565</v>
      </c>
      <c r="AB284" s="15"/>
    </row>
    <row r="285" spans="1:28" x14ac:dyDescent="0.3">
      <c r="A285" s="37" t="s">
        <v>229</v>
      </c>
      <c r="B285" s="38">
        <v>46019</v>
      </c>
      <c r="C285" s="37" t="s">
        <v>49</v>
      </c>
      <c r="D285" s="37" t="s">
        <v>22</v>
      </c>
      <c r="E285" s="37" t="s">
        <v>18</v>
      </c>
      <c r="F285" s="39">
        <v>9</v>
      </c>
      <c r="G285" s="39">
        <v>2599</v>
      </c>
      <c r="H285" s="39">
        <v>1400</v>
      </c>
      <c r="I285" s="37" t="s">
        <v>33</v>
      </c>
      <c r="J285" s="37" t="s">
        <v>34</v>
      </c>
      <c r="K285" s="40">
        <f>Table1[[#This Row],[Quantity]]*Table1[[#This Row],[Unit Price]]</f>
        <v>23391</v>
      </c>
      <c r="L285" s="39">
        <f>Table1[[#This Row],[Revenue]]-Table1[[#This Row],[Cost Price]]*Table1[[#This Row],[Quantity]]</f>
        <v>10791</v>
      </c>
      <c r="M285" s="41">
        <f>IFERROR(Table1[[#This Row],[Profit]]/Table1[[#This Row],[Revenue]],"")</f>
        <v>0.46133128126202383</v>
      </c>
      <c r="N285" s="22"/>
      <c r="O285" s="49" t="s">
        <v>229</v>
      </c>
      <c r="P285" s="50" cm="1">
        <f t="array" ref="P285:AA285">_xlfn.XLOOKUP(O285,Table1[Order ID],Table1[[Order Date]:[Profit Margin]],0,0,1)</f>
        <v>46019</v>
      </c>
      <c r="Q285" s="37" t="str">
        <v>Running Shoes</v>
      </c>
      <c r="R285" s="37" t="str">
        <v>Fashion</v>
      </c>
      <c r="S285" s="37" t="str">
        <v>Central</v>
      </c>
      <c r="T285" s="37">
        <v>9</v>
      </c>
      <c r="U285" s="37">
        <v>2599</v>
      </c>
      <c r="V285" s="37">
        <v>1400</v>
      </c>
      <c r="W285" s="37" t="str">
        <v>Shipped</v>
      </c>
      <c r="X285" s="37" t="str">
        <v>UPI</v>
      </c>
      <c r="Y285" s="37">
        <v>23391</v>
      </c>
      <c r="Z285" s="37">
        <v>10791</v>
      </c>
      <c r="AA285" s="51">
        <v>0.46133128126202383</v>
      </c>
      <c r="AB285" s="15"/>
    </row>
    <row r="286" spans="1:28" x14ac:dyDescent="0.3">
      <c r="A286" s="22" t="s">
        <v>248</v>
      </c>
      <c r="B286" s="23">
        <v>46019</v>
      </c>
      <c r="C286" s="22" t="s">
        <v>37</v>
      </c>
      <c r="D286" s="22" t="s">
        <v>38</v>
      </c>
      <c r="E286" s="22" t="s">
        <v>28</v>
      </c>
      <c r="F286" s="24">
        <v>10</v>
      </c>
      <c r="G286" s="24">
        <v>349</v>
      </c>
      <c r="H286" s="24">
        <v>90</v>
      </c>
      <c r="I286" s="22" t="s">
        <v>24</v>
      </c>
      <c r="J286" s="22" t="s">
        <v>26</v>
      </c>
      <c r="K286" s="25">
        <f>Table1[[#This Row],[Quantity]]*Table1[[#This Row],[Unit Price]]</f>
        <v>3490</v>
      </c>
      <c r="L286" s="24">
        <f>Table1[[#This Row],[Revenue]]-Table1[[#This Row],[Cost Price]]*Table1[[#This Row],[Quantity]]</f>
        <v>2590</v>
      </c>
      <c r="M286" s="26">
        <f>IFERROR(Table1[[#This Row],[Profit]]/Table1[[#This Row],[Revenue]],"")</f>
        <v>0.74212034383954151</v>
      </c>
      <c r="N286" s="22"/>
      <c r="O286" s="42" t="s">
        <v>248</v>
      </c>
      <c r="P286" s="27" cm="1">
        <f t="array" ref="P286:AA286">_xlfn.XLOOKUP(O286,Table1[Order ID],Table1[[Order Date]:[Profit Margin]],0,0,1)</f>
        <v>46019</v>
      </c>
      <c r="Q286" s="22" t="str">
        <v>Coffee Mug</v>
      </c>
      <c r="R286" s="22" t="str">
        <v>Home Decor</v>
      </c>
      <c r="S286" s="22" t="str">
        <v>East</v>
      </c>
      <c r="T286" s="22">
        <v>10</v>
      </c>
      <c r="U286" s="22">
        <v>349</v>
      </c>
      <c r="V286" s="22">
        <v>90</v>
      </c>
      <c r="W286" s="22" t="str">
        <v>Cancelled</v>
      </c>
      <c r="X286" s="22" t="str">
        <v>Credit Card</v>
      </c>
      <c r="Y286" s="22">
        <v>3490</v>
      </c>
      <c r="Z286" s="22">
        <v>2590</v>
      </c>
      <c r="AA286" s="43">
        <v>0.74212034383954151</v>
      </c>
      <c r="AB286" s="15"/>
    </row>
    <row r="287" spans="1:28" ht="15" thickBot="1" x14ac:dyDescent="0.35">
      <c r="A287" s="37" t="s">
        <v>172</v>
      </c>
      <c r="B287" s="38">
        <v>46020</v>
      </c>
      <c r="C287" s="37" t="s">
        <v>51</v>
      </c>
      <c r="D287" s="37" t="s">
        <v>31</v>
      </c>
      <c r="E287" s="37" t="s">
        <v>32</v>
      </c>
      <c r="F287" s="39">
        <v>10</v>
      </c>
      <c r="G287" s="39">
        <v>2899</v>
      </c>
      <c r="H287" s="39">
        <v>1800</v>
      </c>
      <c r="I287" s="37" t="s">
        <v>19</v>
      </c>
      <c r="J287" s="37" t="s">
        <v>52</v>
      </c>
      <c r="K287" s="39">
        <f>Table1[[#This Row],[Quantity]]*Table1[[#This Row],[Unit Price]]</f>
        <v>28990</v>
      </c>
      <c r="L287" s="39">
        <f>Table1[[#This Row],[Revenue]]-Table1[[#This Row],[Cost Price]]*Table1[[#This Row],[Quantity]]</f>
        <v>10990</v>
      </c>
      <c r="M287" s="41">
        <f>IFERROR(Table1[[#This Row],[Profit]]/Table1[[#This Row],[Revenue]],"")</f>
        <v>0.37909624008278719</v>
      </c>
      <c r="N287" s="22"/>
      <c r="O287" s="52" t="s">
        <v>172</v>
      </c>
      <c r="P287" s="53" cm="1">
        <f t="array" ref="P287:AA287">_xlfn.XLOOKUP(O287,Table1[Order ID],Table1[[Order Date]:[Profit Margin]],0,0,1)</f>
        <v>46020</v>
      </c>
      <c r="Q287" s="54" t="str">
        <v>Bluetooth Speaker</v>
      </c>
      <c r="R287" s="54" t="str">
        <v>Electronics</v>
      </c>
      <c r="S287" s="54" t="str">
        <v>North</v>
      </c>
      <c r="T287" s="54">
        <v>10</v>
      </c>
      <c r="U287" s="54">
        <v>2899</v>
      </c>
      <c r="V287" s="54">
        <v>1800</v>
      </c>
      <c r="W287" s="54" t="str">
        <v>Delivered</v>
      </c>
      <c r="X287" s="54" t="str">
        <v>Cash</v>
      </c>
      <c r="Y287" s="54">
        <v>28990</v>
      </c>
      <c r="Z287" s="54">
        <v>10990</v>
      </c>
      <c r="AA287" s="55">
        <v>0.37909624008278719</v>
      </c>
      <c r="AB287" s="15"/>
    </row>
    <row r="288" spans="1:28" x14ac:dyDescent="0.3">
      <c r="A288" s="29" t="s">
        <v>888</v>
      </c>
      <c r="B288" s="30"/>
      <c r="C288" s="29"/>
      <c r="D288" s="29"/>
      <c r="E288" s="29"/>
      <c r="F288" s="31">
        <f>SUBTOTAL(109,Table1[Quantity])</f>
        <v>1533</v>
      </c>
      <c r="G288" s="31"/>
      <c r="H288" s="31"/>
      <c r="I288" s="29"/>
      <c r="J288" s="29"/>
      <c r="K288" s="31">
        <f>SUBTOTAL(109,Table1[Revenue])</f>
        <v>6919567</v>
      </c>
      <c r="L288" s="32">
        <f>SUBTOTAL(109,Table1[Profit])</f>
        <v>1732187</v>
      </c>
      <c r="M288" s="33">
        <f>IFERROR(L288/K288,"")</f>
        <v>0.2503317042814962</v>
      </c>
      <c r="N288" s="22"/>
      <c r="O288" s="22"/>
      <c r="P288" s="27" cm="1">
        <f t="array" ref="P288">_xlfn.XLOOKUP(O288,Table1[Order ID],Table1[[Order Date]:[Profit Margin]],0,0,1)</f>
        <v>0</v>
      </c>
      <c r="Q288" s="22"/>
      <c r="R288" s="22"/>
      <c r="S288" s="22"/>
      <c r="T288" s="22"/>
      <c r="U288" s="22"/>
      <c r="V288" s="22"/>
      <c r="W288" s="22"/>
      <c r="X288" s="22"/>
      <c r="Y288" s="22"/>
      <c r="Z288" s="22"/>
      <c r="AA288" s="28"/>
      <c r="AB288" s="15"/>
    </row>
    <row r="289" spans="1:28" x14ac:dyDescent="0.3">
      <c r="A289" s="15"/>
      <c r="B289" s="15"/>
      <c r="C289" s="15"/>
      <c r="D289" s="15"/>
      <c r="E289" s="15"/>
      <c r="F289" s="15"/>
      <c r="G289" s="15"/>
      <c r="H289" s="15"/>
      <c r="I289" s="15"/>
      <c r="J289" s="15"/>
      <c r="K289" s="15"/>
      <c r="L289" s="15"/>
      <c r="M289" s="16"/>
      <c r="N289" s="15"/>
      <c r="O289" s="15"/>
      <c r="P289" s="17"/>
      <c r="Q289" s="15"/>
      <c r="R289" s="15"/>
      <c r="S289" s="15"/>
      <c r="T289" s="15"/>
      <c r="U289" s="15"/>
      <c r="V289" s="15"/>
      <c r="W289" s="15"/>
      <c r="X289" s="15"/>
      <c r="Y289" s="15"/>
      <c r="Z289" s="15"/>
      <c r="AA289" s="16"/>
      <c r="AB289" s="15"/>
    </row>
  </sheetData>
  <mergeCells count="29">
    <mergeCell ref="X5:AA5"/>
    <mergeCell ref="X6:AA6"/>
    <mergeCell ref="O5:Q5"/>
    <mergeCell ref="O6:Q6"/>
    <mergeCell ref="R5:T5"/>
    <mergeCell ref="R6:T6"/>
    <mergeCell ref="U5:W5"/>
    <mergeCell ref="U6:W6"/>
    <mergeCell ref="R3:T4"/>
    <mergeCell ref="U2:W2"/>
    <mergeCell ref="U3:W4"/>
    <mergeCell ref="X2:AA2"/>
    <mergeCell ref="X3:AA4"/>
    <mergeCell ref="O8:AA8"/>
    <mergeCell ref="A1:M1"/>
    <mergeCell ref="A2:M2"/>
    <mergeCell ref="A4:C4"/>
    <mergeCell ref="A5:C6"/>
    <mergeCell ref="D4:F4"/>
    <mergeCell ref="D5:F6"/>
    <mergeCell ref="G4:I4"/>
    <mergeCell ref="G5:I6"/>
    <mergeCell ref="J4:M4"/>
    <mergeCell ref="J5:M6"/>
    <mergeCell ref="A8:M8"/>
    <mergeCell ref="O1:AA1"/>
    <mergeCell ref="O2:Q2"/>
    <mergeCell ref="O3:Q4"/>
    <mergeCell ref="R2:T2"/>
  </mergeCells>
  <phoneticPr fontId="3" type="noConversion"/>
  <conditionalFormatting sqref="K10:K287">
    <cfRule type="dataBar" priority="1">
      <dataBar>
        <cfvo type="min"/>
        <cfvo type="max"/>
        <color rgb="FF87AFE2"/>
      </dataBar>
      <extLst>
        <ext xmlns:x14="http://schemas.microsoft.com/office/spreadsheetml/2009/9/main" uri="{B025F937-C7B1-47D3-B67F-A62EFF666E3E}">
          <x14:id>{84109052-3920-493B-A9B7-25FBA3EB6091}</x14:id>
        </ext>
      </extLst>
    </cfRule>
  </conditionalFormatting>
  <conditionalFormatting sqref="M10:M287">
    <cfRule type="cellIs" dxfId="0" priority="2" operator="lessThan">
      <formula>0</formula>
    </cfRule>
  </conditionalFormatting>
  <pageMargins left="0.75" right="0.75" top="1" bottom="1" header="0.5" footer="0.5"/>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4109052-3920-493B-A9B7-25FBA3EB6091}">
            <x14:dataBar minLength="0" maxLength="100" border="1" negativeBarColorSameAsPositive="1" axisPosition="none">
              <x14:cfvo type="min"/>
              <x14:cfvo type="max"/>
              <x14:borderColor rgb="FF87AFE2"/>
            </x14:dataBar>
          </x14:cfRule>
          <xm:sqref>K10:K287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817C-0EB5-4CFE-B5F1-6B5F7A8851A8}">
  <sheetPr>
    <tabColor rgb="FF1F4E78"/>
    <pageSetUpPr fitToPage="1"/>
  </sheetPr>
  <dimension ref="A1:Y52"/>
  <sheetViews>
    <sheetView showGridLines="0" tabSelected="1" workbookViewId="0">
      <selection activeCell="J51" sqref="J51"/>
    </sheetView>
  </sheetViews>
  <sheetFormatPr defaultRowHeight="14.4" x14ac:dyDescent="0.3"/>
  <cols>
    <col min="1" max="1" width="13.5546875" bestFit="1" customWidth="1"/>
    <col min="2" max="3" width="9.88671875" bestFit="1" customWidth="1"/>
    <col min="4" max="4" width="28.21875" bestFit="1" customWidth="1"/>
    <col min="5" max="7" width="8.88671875" customWidth="1"/>
    <col min="8" max="8" width="13.5546875" bestFit="1" customWidth="1"/>
    <col min="9" max="9" width="9.88671875" bestFit="1" customWidth="1"/>
    <col min="10" max="11" width="12.21875" bestFit="1" customWidth="1"/>
    <col min="12" max="18" width="8.88671875" customWidth="1"/>
  </cols>
  <sheetData>
    <row r="1" spans="1:18" ht="34.049999999999997" customHeight="1" x14ac:dyDescent="0.3">
      <c r="A1" s="58" t="s">
        <v>889</v>
      </c>
      <c r="B1" s="58"/>
      <c r="C1" s="58"/>
      <c r="D1" s="58"/>
      <c r="E1" s="58"/>
      <c r="F1" s="58"/>
      <c r="G1" s="58"/>
      <c r="H1" s="58"/>
      <c r="I1" s="58"/>
      <c r="J1" s="58"/>
      <c r="K1" s="58"/>
    </row>
    <row r="2" spans="1:18" ht="22.05" customHeight="1" x14ac:dyDescent="0.3"/>
    <row r="4" spans="1:18" ht="24" customHeight="1" x14ac:dyDescent="0.3">
      <c r="A4" s="59" t="s">
        <v>875</v>
      </c>
      <c r="B4" s="59"/>
      <c r="C4" s="59"/>
      <c r="D4" s="59"/>
      <c r="H4" s="59" t="s">
        <v>876</v>
      </c>
      <c r="I4" s="59"/>
      <c r="J4" s="59"/>
      <c r="K4" s="59"/>
    </row>
    <row r="5" spans="1:18" x14ac:dyDescent="0.3">
      <c r="A5" s="6" t="s">
        <v>873</v>
      </c>
      <c r="B5" t="s">
        <v>890</v>
      </c>
      <c r="C5" t="s">
        <v>891</v>
      </c>
      <c r="D5" t="s">
        <v>892</v>
      </c>
      <c r="E5" s="11"/>
      <c r="F5" s="11"/>
      <c r="G5" s="11"/>
      <c r="H5" s="6" t="s">
        <v>873</v>
      </c>
      <c r="I5" t="s">
        <v>890</v>
      </c>
      <c r="J5" t="s">
        <v>891</v>
      </c>
      <c r="K5" t="s">
        <v>880</v>
      </c>
    </row>
    <row r="6" spans="1:18" x14ac:dyDescent="0.3">
      <c r="A6" s="7" t="s">
        <v>17</v>
      </c>
      <c r="B6" s="12">
        <v>1487481</v>
      </c>
      <c r="C6" s="12">
        <v>345981</v>
      </c>
      <c r="D6" s="13">
        <v>0.24714807772627592</v>
      </c>
      <c r="E6" s="11"/>
      <c r="F6" s="11"/>
      <c r="G6" s="11"/>
      <c r="H6" s="7" t="s">
        <v>18</v>
      </c>
      <c r="I6" s="12">
        <v>1103498</v>
      </c>
      <c r="J6" s="12">
        <v>298538</v>
      </c>
      <c r="K6">
        <v>47</v>
      </c>
    </row>
    <row r="7" spans="1:18" x14ac:dyDescent="0.3">
      <c r="A7" s="7" t="s">
        <v>31</v>
      </c>
      <c r="B7" s="12">
        <v>3781585</v>
      </c>
      <c r="C7" s="12">
        <v>807385</v>
      </c>
      <c r="D7" s="13">
        <v>0.29185954926218793</v>
      </c>
      <c r="E7" s="11"/>
      <c r="F7" s="11"/>
      <c r="G7" s="11"/>
      <c r="H7" s="7" t="s">
        <v>28</v>
      </c>
      <c r="I7" s="12">
        <v>1001390</v>
      </c>
      <c r="J7" s="12">
        <v>271660</v>
      </c>
      <c r="K7">
        <v>43</v>
      </c>
    </row>
    <row r="8" spans="1:18" x14ac:dyDescent="0.3">
      <c r="A8" s="7" t="s">
        <v>22</v>
      </c>
      <c r="B8" s="12">
        <v>323987</v>
      </c>
      <c r="C8" s="12">
        <v>151787</v>
      </c>
      <c r="D8" s="13">
        <v>0.47938655254895357</v>
      </c>
      <c r="E8" s="11"/>
      <c r="F8" s="11"/>
      <c r="G8" s="11"/>
      <c r="H8" s="7" t="s">
        <v>32</v>
      </c>
      <c r="I8" s="12">
        <v>1897406</v>
      </c>
      <c r="J8" s="12">
        <v>469016</v>
      </c>
      <c r="K8">
        <v>79</v>
      </c>
    </row>
    <row r="9" spans="1:18" x14ac:dyDescent="0.3">
      <c r="A9" s="7" t="s">
        <v>12</v>
      </c>
      <c r="B9" s="12">
        <v>1153114</v>
      </c>
      <c r="C9" s="12">
        <v>339514</v>
      </c>
      <c r="D9" s="13">
        <v>0.29501902584381984</v>
      </c>
      <c r="E9" s="11"/>
      <c r="F9" s="11"/>
      <c r="G9" s="11"/>
      <c r="H9" s="7" t="s">
        <v>13</v>
      </c>
      <c r="I9" s="12">
        <v>2111436</v>
      </c>
      <c r="J9" s="12">
        <v>482246</v>
      </c>
      <c r="K9">
        <v>71</v>
      </c>
    </row>
    <row r="10" spans="1:18" x14ac:dyDescent="0.3">
      <c r="A10" s="7" t="s">
        <v>38</v>
      </c>
      <c r="B10" s="12">
        <v>111090</v>
      </c>
      <c r="C10" s="12">
        <v>53650</v>
      </c>
      <c r="D10" s="13">
        <v>0.40698968819888659</v>
      </c>
      <c r="E10" s="11"/>
      <c r="F10" s="11"/>
      <c r="G10" s="11"/>
      <c r="H10" s="7" t="s">
        <v>23</v>
      </c>
      <c r="I10" s="12">
        <v>805837</v>
      </c>
      <c r="J10" s="12">
        <v>210727</v>
      </c>
      <c r="K10">
        <v>38</v>
      </c>
    </row>
    <row r="11" spans="1:18" x14ac:dyDescent="0.3">
      <c r="A11" s="7" t="s">
        <v>27</v>
      </c>
      <c r="B11" s="12">
        <v>62310</v>
      </c>
      <c r="C11" s="12">
        <v>33870</v>
      </c>
      <c r="D11" s="13">
        <v>0.42790811642278243</v>
      </c>
      <c r="E11" s="11"/>
      <c r="F11" s="11"/>
      <c r="G11" s="11"/>
      <c r="H11" s="7" t="s">
        <v>874</v>
      </c>
      <c r="I11" s="12">
        <v>6919567</v>
      </c>
      <c r="J11" s="12">
        <v>1732187</v>
      </c>
      <c r="K11">
        <v>278</v>
      </c>
    </row>
    <row r="12" spans="1:18" x14ac:dyDescent="0.3">
      <c r="A12" s="7" t="s">
        <v>874</v>
      </c>
      <c r="B12" s="12">
        <v>6919567</v>
      </c>
      <c r="C12" s="12">
        <v>1732187</v>
      </c>
      <c r="D12" s="13">
        <v>0.34392592589073989</v>
      </c>
      <c r="E12" s="11"/>
      <c r="F12" s="11"/>
      <c r="G12" s="11"/>
    </row>
    <row r="13" spans="1:18" ht="28.05" customHeight="1" x14ac:dyDescent="0.3">
      <c r="A13" s="61" t="s">
        <v>872</v>
      </c>
      <c r="B13" s="61"/>
      <c r="C13" s="61"/>
      <c r="D13" s="61"/>
      <c r="E13" s="61"/>
      <c r="F13" s="61"/>
      <c r="G13" s="61"/>
      <c r="H13" s="61"/>
      <c r="I13" s="61"/>
      <c r="J13" s="61"/>
      <c r="K13" s="61"/>
      <c r="L13" s="61"/>
      <c r="M13" s="61"/>
      <c r="N13" s="61"/>
      <c r="O13" s="61"/>
      <c r="P13" s="61"/>
      <c r="Q13" s="61"/>
      <c r="R13" s="61"/>
    </row>
    <row r="14" spans="1:18" ht="19.05" customHeight="1" x14ac:dyDescent="0.3">
      <c r="A14" s="66" t="s">
        <v>881</v>
      </c>
      <c r="B14" s="66"/>
      <c r="C14" s="66"/>
      <c r="D14" s="69" t="s">
        <v>882</v>
      </c>
      <c r="E14" s="69"/>
      <c r="F14" s="69"/>
      <c r="G14" s="70" t="s">
        <v>883</v>
      </c>
      <c r="H14" s="70"/>
      <c r="I14" s="70"/>
      <c r="J14" s="63" t="s">
        <v>880</v>
      </c>
      <c r="K14" s="63"/>
      <c r="L14" s="63"/>
      <c r="M14" s="62" t="s">
        <v>884</v>
      </c>
      <c r="N14" s="62"/>
      <c r="O14" s="62"/>
      <c r="P14" s="62"/>
      <c r="Q14" s="62"/>
      <c r="R14" s="62"/>
    </row>
    <row r="15" spans="1:18" ht="19.05" customHeight="1" x14ac:dyDescent="0.3">
      <c r="A15" s="67">
        <f>B12</f>
        <v>6919567</v>
      </c>
      <c r="B15" s="67"/>
      <c r="C15" s="67"/>
      <c r="D15" s="67">
        <f>C12</f>
        <v>1732187</v>
      </c>
      <c r="E15" s="67"/>
      <c r="F15" s="67"/>
      <c r="G15" s="71">
        <f>D12</f>
        <v>0.34392592589073989</v>
      </c>
      <c r="H15" s="71"/>
      <c r="I15" s="71"/>
      <c r="J15" s="64">
        <f>K11</f>
        <v>278</v>
      </c>
      <c r="K15" s="64"/>
      <c r="L15" s="64"/>
      <c r="M15" s="62"/>
      <c r="N15" s="62"/>
      <c r="O15" s="62"/>
      <c r="P15" s="62"/>
      <c r="Q15" s="62"/>
      <c r="R15" s="62"/>
    </row>
    <row r="16" spans="1:18" ht="19.05" customHeight="1" x14ac:dyDescent="0.3">
      <c r="A16" s="67"/>
      <c r="B16" s="67"/>
      <c r="C16" s="67"/>
      <c r="D16" s="67"/>
      <c r="E16" s="67"/>
      <c r="F16" s="67"/>
      <c r="G16" s="71"/>
      <c r="H16" s="71"/>
      <c r="I16" s="71"/>
      <c r="J16" s="64"/>
      <c r="K16" s="64"/>
      <c r="L16" s="64"/>
      <c r="M16" s="10"/>
      <c r="N16" s="10"/>
      <c r="O16" s="10"/>
      <c r="P16" s="10"/>
      <c r="Q16" s="10"/>
      <c r="R16" s="10"/>
    </row>
    <row r="17" spans="1:25" ht="19.05" customHeight="1" x14ac:dyDescent="0.3">
      <c r="A17" s="68"/>
      <c r="B17" s="68"/>
      <c r="C17" s="68"/>
      <c r="D17" s="68"/>
      <c r="E17" s="68"/>
      <c r="F17" s="68"/>
      <c r="G17" s="72"/>
      <c r="H17" s="72"/>
      <c r="I17" s="72"/>
      <c r="J17" s="65"/>
      <c r="K17" s="65"/>
      <c r="L17" s="65"/>
      <c r="M17" s="10"/>
      <c r="N17" s="10"/>
      <c r="O17" s="10"/>
      <c r="P17" s="10"/>
      <c r="Q17" s="10"/>
      <c r="R17" s="10"/>
    </row>
    <row r="18" spans="1:25" s="14" customFormat="1" ht="16.05" customHeight="1" x14ac:dyDescent="0.3">
      <c r="A18" s="10"/>
      <c r="B18" s="10"/>
      <c r="C18" s="10"/>
      <c r="D18" s="10"/>
      <c r="E18" s="10"/>
      <c r="F18" s="10"/>
      <c r="G18" s="10"/>
      <c r="H18" s="10"/>
      <c r="I18" s="10"/>
      <c r="J18" s="10"/>
      <c r="K18" s="10"/>
      <c r="L18" s="10"/>
      <c r="M18" s="10"/>
      <c r="N18" s="10"/>
      <c r="O18" s="10"/>
      <c r="P18" s="10"/>
      <c r="Q18" s="10"/>
      <c r="R18" s="10"/>
      <c r="S18"/>
      <c r="T18"/>
      <c r="U18"/>
      <c r="V18"/>
      <c r="W18"/>
      <c r="X18"/>
      <c r="Y18"/>
    </row>
    <row r="19" spans="1:25" ht="16.05" customHeight="1" x14ac:dyDescent="0.3">
      <c r="A19" s="10"/>
      <c r="B19" s="10"/>
      <c r="C19" s="10"/>
      <c r="D19" s="10"/>
      <c r="E19" s="10"/>
      <c r="F19" s="10"/>
      <c r="G19" s="10"/>
      <c r="H19" s="10"/>
      <c r="I19" s="10"/>
      <c r="J19" s="10"/>
      <c r="K19" s="10"/>
      <c r="L19" s="10"/>
      <c r="M19" s="10"/>
      <c r="N19" s="10"/>
      <c r="O19" s="10"/>
      <c r="P19" s="10"/>
      <c r="Q19" s="10"/>
      <c r="R19" s="10"/>
    </row>
    <row r="20" spans="1:25" ht="16.05" customHeight="1" x14ac:dyDescent="0.3">
      <c r="A20" s="10"/>
      <c r="B20" s="10"/>
      <c r="C20" s="10"/>
      <c r="D20" s="10"/>
      <c r="E20" s="10"/>
      <c r="F20" s="10"/>
      <c r="G20" s="10"/>
      <c r="H20" s="10"/>
      <c r="I20" s="10"/>
      <c r="J20" s="10"/>
      <c r="K20" s="10"/>
      <c r="L20" s="10"/>
      <c r="M20" s="10"/>
      <c r="N20" s="10"/>
      <c r="O20" s="10"/>
      <c r="P20" s="10"/>
      <c r="Q20" s="10"/>
      <c r="R20" s="10"/>
    </row>
    <row r="21" spans="1:25" ht="16.05" customHeight="1" x14ac:dyDescent="0.3">
      <c r="A21" s="10"/>
      <c r="B21" s="10"/>
      <c r="C21" s="10"/>
      <c r="D21" s="10"/>
      <c r="E21" s="10"/>
      <c r="F21" s="10"/>
      <c r="G21" s="10"/>
      <c r="H21" s="10"/>
      <c r="I21" s="10"/>
      <c r="J21" s="10"/>
      <c r="K21" s="10"/>
      <c r="L21" s="10"/>
      <c r="M21" s="10"/>
      <c r="N21" s="10"/>
      <c r="O21" s="10"/>
      <c r="P21" s="10"/>
      <c r="Q21" s="10"/>
      <c r="R21" s="10"/>
    </row>
    <row r="22" spans="1:25" ht="16.05" customHeight="1" x14ac:dyDescent="0.3">
      <c r="A22" s="10"/>
      <c r="B22" s="10"/>
      <c r="C22" s="10"/>
      <c r="D22" s="10"/>
      <c r="E22" s="10"/>
      <c r="F22" s="10"/>
      <c r="G22" s="10"/>
      <c r="H22" s="10"/>
      <c r="I22" s="10"/>
      <c r="J22" s="10"/>
      <c r="K22" s="10"/>
      <c r="L22" s="10"/>
      <c r="M22" s="10"/>
      <c r="N22" s="10"/>
      <c r="O22" s="10"/>
      <c r="P22" s="10"/>
      <c r="Q22" s="10"/>
      <c r="R22" s="10"/>
    </row>
    <row r="23" spans="1:25" ht="16.05" customHeight="1" x14ac:dyDescent="0.3">
      <c r="A23" s="10"/>
      <c r="B23" s="10"/>
      <c r="C23" s="10"/>
      <c r="D23" s="10"/>
      <c r="E23" s="10"/>
      <c r="F23" s="10"/>
      <c r="G23" s="10"/>
      <c r="H23" s="10"/>
      <c r="I23" s="10"/>
      <c r="J23" s="10"/>
      <c r="K23" s="10"/>
      <c r="L23" s="10"/>
      <c r="M23" s="10"/>
      <c r="N23" s="10"/>
      <c r="O23" s="10"/>
      <c r="P23" s="10"/>
      <c r="Q23" s="10"/>
      <c r="R23" s="10"/>
    </row>
    <row r="24" spans="1:25" ht="16.05" customHeight="1" x14ac:dyDescent="0.3">
      <c r="A24" s="10"/>
      <c r="B24" s="10"/>
      <c r="C24" s="10"/>
      <c r="D24" s="10"/>
      <c r="E24" s="10"/>
      <c r="F24" s="10"/>
      <c r="G24" s="10"/>
      <c r="H24" s="10"/>
      <c r="I24" s="10"/>
      <c r="J24" s="10"/>
      <c r="K24" s="10"/>
      <c r="L24" s="10"/>
      <c r="M24" s="10"/>
      <c r="N24" s="10"/>
      <c r="O24" s="10"/>
      <c r="P24" s="10"/>
      <c r="Q24" s="10"/>
      <c r="R24" s="10"/>
    </row>
    <row r="25" spans="1:25" ht="16.05" customHeight="1" x14ac:dyDescent="0.3">
      <c r="A25" s="10"/>
      <c r="B25" s="10"/>
      <c r="C25" s="10"/>
      <c r="D25" s="10"/>
      <c r="E25" s="10"/>
      <c r="F25" s="10"/>
      <c r="G25" s="10"/>
      <c r="H25" s="10"/>
      <c r="I25" s="10"/>
      <c r="J25" s="10"/>
      <c r="K25" s="10"/>
      <c r="L25" s="10"/>
      <c r="M25" s="10"/>
      <c r="N25" s="10"/>
      <c r="O25" s="10"/>
      <c r="P25" s="10"/>
      <c r="Q25" s="10"/>
      <c r="R25" s="10"/>
    </row>
    <row r="26" spans="1:25" ht="16.05" customHeight="1" x14ac:dyDescent="0.3">
      <c r="A26" s="10"/>
      <c r="B26" s="10"/>
      <c r="C26" s="10"/>
      <c r="D26" s="10"/>
      <c r="E26" s="10"/>
      <c r="F26" s="10"/>
      <c r="G26" s="10"/>
      <c r="H26" s="10"/>
      <c r="I26" s="10"/>
      <c r="J26" s="10"/>
      <c r="K26" s="10"/>
      <c r="L26" s="10"/>
      <c r="M26" s="10"/>
      <c r="N26" s="10"/>
      <c r="O26" s="10"/>
      <c r="P26" s="10"/>
      <c r="Q26" s="10"/>
      <c r="R26" s="10"/>
    </row>
    <row r="27" spans="1:25" ht="16.05" customHeight="1" x14ac:dyDescent="0.3">
      <c r="A27" s="10"/>
      <c r="B27" s="10"/>
      <c r="C27" s="10"/>
      <c r="D27" s="10"/>
      <c r="E27" s="10"/>
      <c r="F27" s="10"/>
      <c r="G27" s="10"/>
      <c r="H27" s="10"/>
      <c r="I27" s="10"/>
      <c r="J27" s="10"/>
      <c r="K27" s="10"/>
      <c r="L27" s="10"/>
      <c r="M27" s="10"/>
      <c r="N27" s="10"/>
      <c r="O27" s="10"/>
      <c r="P27" s="10"/>
      <c r="Q27" s="10"/>
      <c r="R27" s="10"/>
    </row>
    <row r="28" spans="1:25" ht="16.05" customHeight="1" x14ac:dyDescent="0.3">
      <c r="A28" s="10"/>
      <c r="B28" s="10"/>
      <c r="C28" s="10"/>
      <c r="D28" s="10"/>
      <c r="E28" s="10"/>
      <c r="F28" s="10"/>
      <c r="G28" s="10"/>
      <c r="H28" s="10"/>
      <c r="I28" s="10"/>
      <c r="J28" s="10"/>
      <c r="K28" s="10"/>
      <c r="L28" s="10"/>
      <c r="M28" s="10"/>
      <c r="N28" s="10"/>
      <c r="O28" s="10"/>
      <c r="P28" s="10"/>
      <c r="Q28" s="10"/>
      <c r="R28" s="10"/>
    </row>
    <row r="29" spans="1:25" ht="16.05" customHeight="1" x14ac:dyDescent="0.3">
      <c r="A29" s="10"/>
      <c r="B29" s="10"/>
      <c r="C29" s="10"/>
      <c r="D29" s="10"/>
      <c r="E29" s="10"/>
      <c r="F29" s="10"/>
      <c r="G29" s="10"/>
      <c r="H29" s="10"/>
      <c r="I29" s="10"/>
      <c r="J29" s="10"/>
      <c r="K29" s="10"/>
      <c r="L29" s="10"/>
      <c r="M29" s="10"/>
      <c r="N29" s="10"/>
      <c r="O29" s="10"/>
      <c r="P29" s="10"/>
      <c r="Q29" s="10"/>
      <c r="R29" s="10"/>
    </row>
    <row r="30" spans="1:25" ht="16.05" customHeight="1" x14ac:dyDescent="0.3">
      <c r="A30" s="10"/>
      <c r="B30" s="10"/>
      <c r="C30" s="10"/>
      <c r="D30" s="10"/>
      <c r="E30" s="10"/>
      <c r="F30" s="10"/>
      <c r="G30" s="10"/>
      <c r="H30" s="10"/>
      <c r="I30" s="10"/>
      <c r="J30" s="10"/>
      <c r="K30" s="10"/>
      <c r="L30" s="10"/>
      <c r="M30" s="10"/>
      <c r="N30" s="10"/>
      <c r="O30" s="10"/>
      <c r="P30" s="10"/>
      <c r="Q30" s="10"/>
      <c r="R30" s="10"/>
    </row>
    <row r="31" spans="1:25" ht="16.05" customHeight="1" x14ac:dyDescent="0.3">
      <c r="A31" s="10"/>
      <c r="B31" s="10"/>
      <c r="C31" s="10"/>
      <c r="D31" s="10"/>
      <c r="E31" s="10"/>
      <c r="F31" s="10"/>
      <c r="G31" s="10"/>
      <c r="H31" s="10"/>
      <c r="I31" s="10"/>
      <c r="J31" s="10"/>
      <c r="K31" s="10"/>
      <c r="L31" s="10"/>
      <c r="M31" s="10"/>
      <c r="N31" s="10"/>
      <c r="O31" s="10"/>
      <c r="P31" s="10"/>
      <c r="Q31" s="10"/>
      <c r="R31" s="10"/>
    </row>
    <row r="32" spans="1:25" ht="16.05" customHeight="1" x14ac:dyDescent="0.3">
      <c r="A32" s="10"/>
      <c r="B32" s="10"/>
      <c r="C32" s="10"/>
      <c r="D32" s="10"/>
      <c r="E32" s="10"/>
      <c r="F32" s="10"/>
      <c r="G32" s="10"/>
      <c r="H32" s="10"/>
      <c r="I32" s="10"/>
      <c r="J32" s="10"/>
      <c r="K32" s="10"/>
      <c r="L32" s="10"/>
      <c r="M32" s="10"/>
      <c r="N32" s="10"/>
      <c r="O32" s="10"/>
      <c r="P32" s="10"/>
      <c r="Q32" s="10"/>
      <c r="R32" s="10"/>
    </row>
    <row r="33" spans="1:18" ht="16.05" customHeight="1" x14ac:dyDescent="0.3">
      <c r="A33" s="10"/>
      <c r="B33" s="10"/>
      <c r="C33" s="10"/>
      <c r="D33" s="10"/>
      <c r="E33" s="10"/>
      <c r="F33" s="10"/>
      <c r="G33" s="10"/>
      <c r="H33" s="10"/>
      <c r="I33" s="10"/>
      <c r="J33" s="10"/>
      <c r="K33" s="10"/>
      <c r="L33" s="10"/>
      <c r="M33" s="10"/>
      <c r="N33" s="10"/>
      <c r="O33" s="10"/>
      <c r="P33" s="10"/>
      <c r="Q33" s="10"/>
      <c r="R33" s="10"/>
    </row>
    <row r="34" spans="1:18" ht="16.05" customHeight="1" x14ac:dyDescent="0.3">
      <c r="A34" s="10"/>
      <c r="B34" s="10"/>
      <c r="C34" s="10"/>
      <c r="D34" s="10"/>
      <c r="E34" s="10"/>
      <c r="F34" s="10"/>
      <c r="G34" s="10"/>
      <c r="H34" s="10"/>
      <c r="I34" s="10"/>
      <c r="J34" s="10"/>
      <c r="K34" s="10"/>
      <c r="L34" s="10"/>
      <c r="M34" s="10"/>
      <c r="N34" s="10"/>
      <c r="O34" s="10"/>
      <c r="P34" s="10"/>
      <c r="Q34" s="10"/>
      <c r="R34" s="10"/>
    </row>
    <row r="35" spans="1:18" ht="16.05" customHeight="1" x14ac:dyDescent="0.3">
      <c r="A35" s="10"/>
      <c r="B35" s="10"/>
      <c r="C35" s="10"/>
      <c r="D35" s="10"/>
      <c r="E35" s="10"/>
      <c r="F35" s="10"/>
      <c r="G35" s="10"/>
      <c r="H35" s="10"/>
      <c r="I35" s="10"/>
      <c r="J35" s="10"/>
      <c r="K35" s="10"/>
      <c r="L35" s="10"/>
      <c r="M35" s="10"/>
      <c r="N35" s="10"/>
      <c r="O35" s="10"/>
      <c r="P35" s="10"/>
      <c r="Q35" s="10"/>
      <c r="R35" s="10"/>
    </row>
    <row r="36" spans="1:18" ht="16.05" customHeight="1" x14ac:dyDescent="0.3">
      <c r="A36" s="10"/>
      <c r="B36" s="10"/>
      <c r="C36" s="10"/>
      <c r="D36" s="10"/>
      <c r="E36" s="10"/>
      <c r="F36" s="10"/>
      <c r="G36" s="10"/>
      <c r="H36" s="10"/>
      <c r="I36" s="10"/>
      <c r="J36" s="10"/>
      <c r="K36" s="10"/>
      <c r="L36" s="10"/>
      <c r="M36" s="10"/>
      <c r="N36" s="10"/>
      <c r="O36" s="10"/>
      <c r="P36" s="10"/>
      <c r="Q36" s="10"/>
      <c r="R36" s="10"/>
    </row>
    <row r="37" spans="1:18" ht="16.05" customHeight="1" x14ac:dyDescent="0.3">
      <c r="A37" s="10"/>
      <c r="B37" s="10"/>
      <c r="C37" s="10"/>
      <c r="D37" s="10"/>
      <c r="E37" s="10"/>
      <c r="F37" s="10"/>
      <c r="G37" s="10"/>
      <c r="H37" s="10"/>
      <c r="I37" s="10"/>
      <c r="J37" s="10"/>
      <c r="K37" s="10"/>
      <c r="L37" s="10"/>
      <c r="M37" s="10"/>
      <c r="N37" s="10"/>
      <c r="O37" s="10"/>
      <c r="P37" s="10"/>
      <c r="Q37" s="10"/>
      <c r="R37" s="10"/>
    </row>
    <row r="38" spans="1:18" ht="16.05" customHeight="1" x14ac:dyDescent="0.3">
      <c r="A38" s="10"/>
      <c r="B38" s="10"/>
      <c r="C38" s="10"/>
      <c r="D38" s="10"/>
      <c r="E38" s="10"/>
      <c r="F38" s="10"/>
      <c r="G38" s="10"/>
      <c r="H38" s="10"/>
      <c r="I38" s="10"/>
      <c r="J38" s="10"/>
      <c r="K38" s="10"/>
      <c r="L38" s="10"/>
      <c r="M38" s="10"/>
      <c r="N38" s="10"/>
      <c r="O38" s="10"/>
      <c r="P38" s="10"/>
      <c r="Q38" s="10"/>
      <c r="R38" s="10"/>
    </row>
    <row r="39" spans="1:18" ht="16.05" customHeight="1" x14ac:dyDescent="0.3">
      <c r="A39" s="10"/>
      <c r="B39" s="10"/>
      <c r="C39" s="10"/>
      <c r="D39" s="10"/>
      <c r="E39" s="10"/>
      <c r="F39" s="10"/>
      <c r="G39" s="10"/>
      <c r="H39" s="10"/>
      <c r="I39" s="10"/>
      <c r="J39" s="10"/>
      <c r="K39" s="10"/>
      <c r="L39" s="10"/>
      <c r="M39" s="10"/>
      <c r="N39" s="10"/>
      <c r="O39" s="10"/>
      <c r="P39" s="10"/>
      <c r="Q39" s="10"/>
      <c r="R39" s="10"/>
    </row>
    <row r="40" spans="1:18" ht="16.05" customHeight="1" x14ac:dyDescent="0.3">
      <c r="A40" s="10"/>
      <c r="B40" s="10"/>
      <c r="C40" s="10"/>
      <c r="D40" s="10"/>
      <c r="E40" s="10"/>
      <c r="F40" s="10"/>
      <c r="G40" s="10"/>
      <c r="H40" s="10"/>
      <c r="I40" s="10"/>
      <c r="J40" s="10"/>
      <c r="K40" s="10"/>
      <c r="L40" s="10"/>
      <c r="M40" s="10"/>
      <c r="N40" s="10"/>
      <c r="O40" s="10"/>
      <c r="P40" s="10"/>
      <c r="Q40" s="10"/>
      <c r="R40" s="10"/>
    </row>
    <row r="41" spans="1:18" ht="16.05" customHeight="1" x14ac:dyDescent="0.3">
      <c r="A41" s="10"/>
      <c r="B41" s="10"/>
      <c r="C41" s="10"/>
      <c r="D41" s="10"/>
      <c r="E41" s="10"/>
      <c r="F41" s="10"/>
      <c r="G41" s="10"/>
      <c r="H41" s="10"/>
      <c r="I41" s="10"/>
      <c r="J41" s="10"/>
      <c r="K41" s="10"/>
      <c r="L41" s="10"/>
      <c r="M41" s="10"/>
      <c r="N41" s="10"/>
      <c r="O41" s="10"/>
      <c r="P41" s="10"/>
      <c r="Q41" s="10"/>
      <c r="R41" s="10"/>
    </row>
    <row r="42" spans="1:18" ht="18" customHeight="1" x14ac:dyDescent="0.3"/>
    <row r="43" spans="1:18" ht="30" customHeight="1" x14ac:dyDescent="0.3">
      <c r="A43" s="60" t="s">
        <v>885</v>
      </c>
      <c r="B43" s="60"/>
      <c r="C43" s="60"/>
      <c r="D43" s="60"/>
      <c r="E43" s="60"/>
      <c r="F43" s="60"/>
      <c r="G43" s="60"/>
      <c r="H43" s="60"/>
      <c r="I43" s="60"/>
      <c r="J43" s="60"/>
      <c r="K43" s="60"/>
      <c r="L43" s="60"/>
      <c r="M43" s="60"/>
      <c r="N43" s="60"/>
      <c r="O43" s="60"/>
      <c r="P43" s="60"/>
      <c r="Q43" s="60"/>
      <c r="R43" s="60"/>
    </row>
    <row r="44" spans="1:18" ht="27" customHeight="1" x14ac:dyDescent="0.3">
      <c r="A44" s="57" t="str">
        <f>IF($I$11=0,"1 | No regional data under the current filters.","1 | Regional leader: "&amp;INDEX($H$6:$H$10,MATCH(MAX($I$6:$I$10),$I$6:$I$10,0))&amp;" | Revenue INR "&amp;TEXT(MAX($I$6:$I$10),"#,##0")&amp;" | Profit INR "&amp;TEXT(INDEX($J$6:$J$10,MATCH(MAX($I$6:$I$10),$I$6:$I$10,0)),"#,##0"))</f>
        <v>1 | Regional leader: South | Revenue INR 2,111,436 | Profit INR 482,246</v>
      </c>
      <c r="B44" s="57"/>
      <c r="C44" s="57"/>
      <c r="D44" s="57"/>
      <c r="E44" s="57"/>
      <c r="F44" s="57"/>
      <c r="G44" s="57"/>
      <c r="H44" s="57"/>
      <c r="I44" s="57"/>
      <c r="J44" s="57"/>
      <c r="K44" s="57"/>
      <c r="L44" s="57"/>
      <c r="M44" s="57"/>
      <c r="N44" s="57"/>
      <c r="O44" s="57"/>
      <c r="P44" s="57"/>
      <c r="Q44" s="57"/>
      <c r="R44" s="57"/>
    </row>
    <row r="45" spans="1:18" ht="27" customHeight="1" x14ac:dyDescent="0.3">
      <c r="A45" s="57" t="str">
        <f>IF($B$12=0,"2 | No category data under the current Category slicer selections.","2 | Top category by revenue: "&amp;INDEX($A$6:$A$11,MATCH(MAX($B$6:$B$11),$B$6:$B$11,0))&amp;" | Revenue INR "&amp;TEXT(MAX($B$6:$B$11),"#,##0")&amp;" | Profit INR "&amp;TEXT(INDEX($C$6:$C$11,MATCH(MAX($B$6:$B$11),$B$6:$B$11,0)),"#,##0"))</f>
        <v>2 | Top category by revenue: Electronics | Revenue INR 3,781,585 | Profit INR 807,385</v>
      </c>
      <c r="B45" s="57"/>
      <c r="C45" s="57"/>
      <c r="D45" s="57"/>
      <c r="E45" s="57"/>
      <c r="F45" s="57"/>
      <c r="G45" s="57"/>
      <c r="H45" s="57"/>
      <c r="I45" s="57"/>
      <c r="J45" s="57"/>
      <c r="K45" s="57"/>
      <c r="L45" s="57"/>
      <c r="M45" s="57"/>
      <c r="N45" s="57"/>
      <c r="O45" s="57"/>
      <c r="P45" s="57"/>
      <c r="Q45" s="57"/>
      <c r="R45" s="57"/>
    </row>
    <row r="46" spans="1:18" ht="27" customHeight="1" x14ac:dyDescent="0.3">
      <c r="A46" s="57" t="str">
        <f>IF($B$12=0,"3 | Category margin insight unavailable because the current Category filters return no records.","3 | Highest average margin: "&amp;INDEX($A$6:$A$11,MATCH(MAX($D$6:$D$11),$D$6:$D$11,0))&amp;" at "&amp;TEXT(MAX($D$6:$D$11),"0.0%")&amp;" | Revenue INR "&amp;TEXT(INDEX($B$6:$B$11,MATCH(MAX($D$6:$D$11),$D$6:$D$11,0)),"#,##0"))</f>
        <v>3 | Highest average margin: Fashion at 47.9% | Revenue INR 323,987</v>
      </c>
      <c r="B46" s="57"/>
      <c r="C46" s="57"/>
      <c r="D46" s="57"/>
      <c r="E46" s="57"/>
      <c r="F46" s="57"/>
      <c r="G46" s="57"/>
      <c r="H46" s="57"/>
      <c r="I46" s="57"/>
      <c r="J46" s="57"/>
      <c r="K46" s="57"/>
      <c r="L46" s="57"/>
      <c r="M46" s="57"/>
      <c r="N46" s="57"/>
      <c r="O46" s="57"/>
      <c r="P46" s="57"/>
      <c r="Q46" s="57"/>
      <c r="R46" s="57"/>
    </row>
    <row r="47" spans="1:18" ht="27" customHeight="1" x14ac:dyDescent="0.3">
      <c r="A47" s="57" t="str">
        <f>IF($I$11=0,"4 | Regional insight unavailable because the current filters return no records.","4 | Lowest regional revenue: "&amp;INDEX($H$6:$H$10,MATCH(MIN($I$6:$I$10),$I$6:$I$10,0))&amp;" | INR "&amp;TEXT(MIN($I$6:$I$10),"#,##0")&amp;" | Review demand, assortment, and conversion")</f>
        <v>4 | Lowest regional revenue: West | INR 805,837 | Review demand, assortment, and conversion</v>
      </c>
      <c r="B47" s="57"/>
      <c r="C47" s="57"/>
      <c r="D47" s="57"/>
      <c r="E47" s="57"/>
      <c r="F47" s="57"/>
      <c r="G47" s="57"/>
      <c r="H47" s="57"/>
      <c r="I47" s="57"/>
      <c r="J47" s="57"/>
      <c r="K47" s="57"/>
      <c r="L47" s="57"/>
      <c r="M47" s="57"/>
      <c r="N47" s="57"/>
      <c r="O47" s="57"/>
      <c r="P47" s="57"/>
      <c r="Q47" s="57"/>
      <c r="R47" s="57"/>
    </row>
    <row r="48" spans="1:18" ht="27" customHeight="1" x14ac:dyDescent="0.3">
      <c r="A48" s="56" t="str">
        <f>IF($I$11=0,"5 | Overall margin unavailable under the current filters.","5 | Overall profit margin: "&amp;IFERROR(TEXT($J$11/$I$11,"0.0%"),"N/A")&amp;" | Profit INR "&amp;TEXT($J$11,"#,##0")&amp;" on revenue INR "&amp;TEXT($I$11,"#,##0"))</f>
        <v>5 | Overall profit margin: 25.0% | Profit INR 1,732,187 on revenue INR 6,919,567</v>
      </c>
      <c r="B48" s="56"/>
      <c r="C48" s="56"/>
      <c r="D48" s="56"/>
      <c r="E48" s="56"/>
      <c r="F48" s="56"/>
      <c r="G48" s="56"/>
      <c r="H48" s="56"/>
      <c r="I48" s="56"/>
      <c r="J48" s="56"/>
      <c r="K48" s="56"/>
      <c r="L48" s="56"/>
      <c r="M48" s="56"/>
      <c r="N48" s="56"/>
      <c r="O48" s="56"/>
      <c r="P48" s="56"/>
      <c r="Q48" s="56"/>
      <c r="R48" s="56"/>
    </row>
    <row r="49" ht="18" customHeight="1" x14ac:dyDescent="0.3"/>
    <row r="50" ht="34.049999999999997" customHeight="1" x14ac:dyDescent="0.3"/>
    <row r="51" ht="34.049999999999997" customHeight="1" x14ac:dyDescent="0.3"/>
    <row r="52" ht="34.049999999999997" customHeight="1" x14ac:dyDescent="0.3"/>
  </sheetData>
  <mergeCells count="19">
    <mergeCell ref="A1:K1"/>
    <mergeCell ref="A4:D4"/>
    <mergeCell ref="H4:K4"/>
    <mergeCell ref="A43:R43"/>
    <mergeCell ref="A13:R13"/>
    <mergeCell ref="M14:R15"/>
    <mergeCell ref="J14:L14"/>
    <mergeCell ref="J15:L17"/>
    <mergeCell ref="A14:C14"/>
    <mergeCell ref="A15:C17"/>
    <mergeCell ref="D14:F14"/>
    <mergeCell ref="D15:F17"/>
    <mergeCell ref="G14:I14"/>
    <mergeCell ref="G15:I17"/>
    <mergeCell ref="A48:R48"/>
    <mergeCell ref="A44:R44"/>
    <mergeCell ref="A45:R45"/>
    <mergeCell ref="A46:R46"/>
    <mergeCell ref="A47:R47"/>
  </mergeCells>
  <pageMargins left="0.7" right="0.7" top="0.75" bottom="0.75" header="0.3" footer="0.3"/>
  <pageSetup scale="63" orientation="landscape" r:id="rId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2F38B-A0A3-492F-8860-87B54FE85760}">
  <dimension ref="A1:G17"/>
  <sheetViews>
    <sheetView workbookViewId="0"/>
  </sheetViews>
  <sheetFormatPr defaultRowHeight="14.4" x14ac:dyDescent="0.3"/>
  <sheetData>
    <row r="1" spans="1:7" x14ac:dyDescent="0.3">
      <c r="A1" t="s">
        <v>3</v>
      </c>
      <c r="B1" t="s">
        <v>877</v>
      </c>
      <c r="C1" t="s">
        <v>878</v>
      </c>
      <c r="E1" t="s">
        <v>4</v>
      </c>
      <c r="F1" t="s">
        <v>877</v>
      </c>
      <c r="G1" t="s">
        <v>878</v>
      </c>
    </row>
    <row r="2" spans="1:7" x14ac:dyDescent="0.3">
      <c r="A2" t="str">
        <f>IF(OR('Sales Dashboard'!A6="",'Sales Dashboard'!A6="Grand Total"),"",'Sales Dashboard'!A6)</f>
        <v>Appliances</v>
      </c>
      <c r="B2" s="12">
        <f>IF(A2="",NA(),'Sales Dashboard'!B6)</f>
        <v>1487481</v>
      </c>
      <c r="C2" s="12">
        <f>IF(A2="",NA(),'Sales Dashboard'!C6)</f>
        <v>345981</v>
      </c>
      <c r="E2" t="str">
        <f>IF(OR('Sales Dashboard'!H6="",'Sales Dashboard'!H6="Grand Total"),"",'Sales Dashboard'!H6)</f>
        <v>Central</v>
      </c>
      <c r="F2" s="12">
        <f>IF(E2="",NA(),'Sales Dashboard'!I6)</f>
        <v>1103498</v>
      </c>
      <c r="G2" s="12">
        <f>IF(E2="",NA(),'Sales Dashboard'!J6)</f>
        <v>298538</v>
      </c>
    </row>
    <row r="3" spans="1:7" x14ac:dyDescent="0.3">
      <c r="A3" t="str">
        <f>IF(OR('Sales Dashboard'!A7="",'Sales Dashboard'!A7="Grand Total"),"",'Sales Dashboard'!A7)</f>
        <v>Electronics</v>
      </c>
      <c r="B3" s="12">
        <f>IF(A3="",NA(),'Sales Dashboard'!B7)</f>
        <v>3781585</v>
      </c>
      <c r="C3" s="12">
        <f>IF(A3="",NA(),'Sales Dashboard'!C7)</f>
        <v>807385</v>
      </c>
      <c r="E3" t="str">
        <f>IF(OR('Sales Dashboard'!H7="",'Sales Dashboard'!H7="Grand Total"),"",'Sales Dashboard'!H7)</f>
        <v>East</v>
      </c>
      <c r="F3" s="12">
        <f>IF(E3="",NA(),'Sales Dashboard'!I7)</f>
        <v>1001390</v>
      </c>
      <c r="G3" s="12">
        <f>IF(E3="",NA(),'Sales Dashboard'!J7)</f>
        <v>271660</v>
      </c>
    </row>
    <row r="4" spans="1:7" x14ac:dyDescent="0.3">
      <c r="A4" t="str">
        <f>IF(OR('Sales Dashboard'!A8="",'Sales Dashboard'!A8="Grand Total"),"",'Sales Dashboard'!A8)</f>
        <v>Fashion</v>
      </c>
      <c r="B4" s="12">
        <f>IF(A4="",NA(),'Sales Dashboard'!B8)</f>
        <v>323987</v>
      </c>
      <c r="C4" s="12">
        <f>IF(A4="",NA(),'Sales Dashboard'!C8)</f>
        <v>151787</v>
      </c>
      <c r="E4" t="str">
        <f>IF(OR('Sales Dashboard'!H8="",'Sales Dashboard'!H8="Grand Total"),"",'Sales Dashboard'!H8)</f>
        <v>North</v>
      </c>
      <c r="F4" s="12">
        <f>IF(E4="",NA(),'Sales Dashboard'!I8)</f>
        <v>1897406</v>
      </c>
      <c r="G4" s="12">
        <f>IF(E4="",NA(),'Sales Dashboard'!J8)</f>
        <v>469016</v>
      </c>
    </row>
    <row r="5" spans="1:7" x14ac:dyDescent="0.3">
      <c r="A5" t="str">
        <f>IF(OR('Sales Dashboard'!A9="",'Sales Dashboard'!A9="Grand Total"),"",'Sales Dashboard'!A9)</f>
        <v>Furniture</v>
      </c>
      <c r="B5" s="12">
        <f>IF(A5="",NA(),'Sales Dashboard'!B9)</f>
        <v>1153114</v>
      </c>
      <c r="C5" s="12">
        <f>IF(A5="",NA(),'Sales Dashboard'!C9)</f>
        <v>339514</v>
      </c>
      <c r="E5" t="str">
        <f>IF(OR('Sales Dashboard'!H9="",'Sales Dashboard'!H9="Grand Total"),"",'Sales Dashboard'!H9)</f>
        <v>South</v>
      </c>
      <c r="F5" s="12">
        <f>IF(E5="",NA(),'Sales Dashboard'!I9)</f>
        <v>2111436</v>
      </c>
      <c r="G5" s="12">
        <f>IF(E5="",NA(),'Sales Dashboard'!J9)</f>
        <v>482246</v>
      </c>
    </row>
    <row r="6" spans="1:7" x14ac:dyDescent="0.3">
      <c r="A6" t="str">
        <f>IF(OR('Sales Dashboard'!A10="",'Sales Dashboard'!A10="Grand Total"),"",'Sales Dashboard'!A10)</f>
        <v>Home Decor</v>
      </c>
      <c r="B6" s="12">
        <f>IF(A6="",NA(),'Sales Dashboard'!B10)</f>
        <v>111090</v>
      </c>
      <c r="C6" s="12">
        <f>IF(A6="",NA(),'Sales Dashboard'!C10)</f>
        <v>53650</v>
      </c>
      <c r="E6" t="str">
        <f>IF(OR('Sales Dashboard'!H10="",'Sales Dashboard'!H10="Grand Total"),"",'Sales Dashboard'!H10)</f>
        <v>West</v>
      </c>
      <c r="F6" s="12">
        <f>IF(E6="",NA(),'Sales Dashboard'!I10)</f>
        <v>805837</v>
      </c>
      <c r="G6" s="12">
        <f>IF(E6="",NA(),'Sales Dashboard'!J10)</f>
        <v>210727</v>
      </c>
    </row>
    <row r="7" spans="1:7" x14ac:dyDescent="0.3">
      <c r="A7" t="str">
        <f>IF(OR('Sales Dashboard'!A11="",'Sales Dashboard'!A11="Grand Total"),"",'Sales Dashboard'!A11)</f>
        <v>Stationery</v>
      </c>
      <c r="B7" s="12">
        <f>IF(A7="",NA(),'Sales Dashboard'!B11)</f>
        <v>62310</v>
      </c>
      <c r="C7" s="12">
        <f>IF(A7="",NA(),'Sales Dashboard'!C11)</f>
        <v>33870</v>
      </c>
    </row>
    <row r="10" spans="1:7" x14ac:dyDescent="0.3">
      <c r="A10" t="s">
        <v>3</v>
      </c>
      <c r="B10" t="s">
        <v>879</v>
      </c>
      <c r="E10" t="s">
        <v>4</v>
      </c>
      <c r="F10" t="s">
        <v>880</v>
      </c>
    </row>
    <row r="12" spans="1:7" x14ac:dyDescent="0.3">
      <c r="A12" t="str">
        <f>IF(OR('Sales Dashboard'!A6="",'Sales Dashboard'!A6="Grand Total"),"",'Sales Dashboard'!A6)</f>
        <v>Appliances</v>
      </c>
      <c r="B12" s="13">
        <f>IF(A12="",NA(),'Sales Dashboard'!D6)</f>
        <v>0.24714807772627592</v>
      </c>
      <c r="E12" t="str">
        <f>IF(OR('Sales Dashboard'!H6="",'Sales Dashboard'!H6="Grand Total"),"",'Sales Dashboard'!H6)</f>
        <v>Central</v>
      </c>
      <c r="F12" s="8">
        <f>IF(E12="",NA(),'Sales Dashboard'!K6)</f>
        <v>47</v>
      </c>
    </row>
    <row r="13" spans="1:7" x14ac:dyDescent="0.3">
      <c r="A13" t="str">
        <f>IF(OR('Sales Dashboard'!A7="",'Sales Dashboard'!A7="Grand Total"),"",'Sales Dashboard'!A7)</f>
        <v>Electronics</v>
      </c>
      <c r="B13" s="13">
        <f>IF(A13="",NA(),'Sales Dashboard'!D7)</f>
        <v>0.29185954926218793</v>
      </c>
      <c r="E13" t="str">
        <f>IF(OR('Sales Dashboard'!H7="",'Sales Dashboard'!H7="Grand Total"),"",'Sales Dashboard'!H7)</f>
        <v>East</v>
      </c>
      <c r="F13" s="8">
        <f>IF(E13="",NA(),'Sales Dashboard'!K7)</f>
        <v>43</v>
      </c>
    </row>
    <row r="14" spans="1:7" x14ac:dyDescent="0.3">
      <c r="A14" t="str">
        <f>IF(OR('Sales Dashboard'!A8="",'Sales Dashboard'!A8="Grand Total"),"",'Sales Dashboard'!A8)</f>
        <v>Fashion</v>
      </c>
      <c r="B14" s="13">
        <f>IF(A14="",NA(),'Sales Dashboard'!D8)</f>
        <v>0.47938655254895357</v>
      </c>
      <c r="E14" t="str">
        <f>IF(OR('Sales Dashboard'!H8="",'Sales Dashboard'!H8="Grand Total"),"",'Sales Dashboard'!H8)</f>
        <v>North</v>
      </c>
      <c r="F14" s="8">
        <f>IF(E14="",NA(),'Sales Dashboard'!K8)</f>
        <v>79</v>
      </c>
    </row>
    <row r="15" spans="1:7" x14ac:dyDescent="0.3">
      <c r="A15" t="str">
        <f>IF(OR('Sales Dashboard'!A9="",'Sales Dashboard'!A9="Grand Total"),"",'Sales Dashboard'!A9)</f>
        <v>Furniture</v>
      </c>
      <c r="B15" s="13">
        <f>IF(A15="",NA(),'Sales Dashboard'!D9)</f>
        <v>0.29501902584381984</v>
      </c>
      <c r="E15" t="str">
        <f>IF(OR('Sales Dashboard'!H9="",'Sales Dashboard'!H9="Grand Total"),"",'Sales Dashboard'!H9)</f>
        <v>South</v>
      </c>
      <c r="F15" s="8">
        <f>IF(E15="",NA(),'Sales Dashboard'!K9)</f>
        <v>71</v>
      </c>
    </row>
    <row r="16" spans="1:7" x14ac:dyDescent="0.3">
      <c r="A16" t="str">
        <f>IF(OR('Sales Dashboard'!A10="",'Sales Dashboard'!A10="Grand Total"),"",'Sales Dashboard'!A10)</f>
        <v>Home Decor</v>
      </c>
      <c r="B16" s="13">
        <f>IF(A16="",NA(),'Sales Dashboard'!D10)</f>
        <v>0.40698968819888659</v>
      </c>
      <c r="E16" t="str">
        <f>IF(OR('Sales Dashboard'!H10="",'Sales Dashboard'!H10="Grand Total"),"",'Sales Dashboard'!H10)</f>
        <v>West</v>
      </c>
      <c r="F16" s="8">
        <f>IF(E16="",NA(),'Sales Dashboard'!K10)</f>
        <v>38</v>
      </c>
    </row>
    <row r="17" spans="1:2" x14ac:dyDescent="0.3">
      <c r="A17" t="str">
        <f>IF(OR('Sales Dashboard'!A11="",'Sales Dashboard'!A11="Grand Total"),"",'Sales Dashboard'!A11)</f>
        <v>Stationery</v>
      </c>
      <c r="B17" s="13">
        <f>IF(A17="",NA(),'Sales Dashboard'!D11)</f>
        <v>0.42790811642278243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Raw Data</vt:lpstr>
      <vt:lpstr>Data Cleaning</vt:lpstr>
      <vt:lpstr>Sales Dashboard</vt:lpstr>
      <vt:lpstr>Chart Support</vt:lpstr>
      <vt:lpstr>'Sales 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M365 Copilot</dc:creator>
  <cp:lastModifiedBy>Dhiraj Pisal</cp:lastModifiedBy>
  <dcterms:created xsi:type="dcterms:W3CDTF">2026-10-27T08:48:58Z</dcterms:created>
  <dcterms:modified xsi:type="dcterms:W3CDTF">2026-10-30T05:25:58Z</dcterms:modified>
</cp:coreProperties>
</file>